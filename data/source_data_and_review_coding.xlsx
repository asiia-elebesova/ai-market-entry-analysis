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Ася\Desktop\submission\Excel and R files\"/>
    </mc:Choice>
  </mc:AlternateContent>
  <xr:revisionPtr revIDLastSave="0" documentId="13_ncr:1_{BB0DC64B-5380-4A47-92D2-4BBFF460D60F}" xr6:coauthVersionLast="47" xr6:coauthVersionMax="47" xr10:uidLastSave="{00000000-0000-0000-0000-000000000000}"/>
  <bookViews>
    <workbookView xWindow="-108" yWindow="-108" windowWidth="23256" windowHeight="12456" activeTab="2" autoFilterDateGrouping="0" xr2:uid="{00000000-000D-0000-FFFF-FFFF00000000}"/>
  </bookViews>
  <sheets>
    <sheet name="merged" sheetId="1" r:id="rId1"/>
    <sheet name="UE" sheetId="11" r:id="rId2"/>
    <sheet name="MS" sheetId="12" r:id="rId3"/>
    <sheet name="ai types" sheetId="2" r:id="rId4"/>
    <sheet name="ota updates" sheetId="3" r:id="rId5"/>
    <sheet name="ecosystem" sheetId="4" r:id="rId6"/>
    <sheet name="additional variables" sheetId="5" r:id="rId7"/>
    <sheet name="coding scheme" sheetId="8" r:id="rId8"/>
    <sheet name="coding raw" sheetId="9" r:id="rId9"/>
    <sheet name="coding count" sheetId="15" r:id="rId10"/>
    <sheet name="coding frequency" sheetId="10" r:id="rId11"/>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12" l="1"/>
  <c r="Y7" i="5"/>
  <c r="Q7" i="5"/>
  <c r="I7" i="5"/>
  <c r="U7" i="5"/>
  <c r="M7" i="5"/>
  <c r="E7" i="5"/>
  <c r="W5" i="5"/>
  <c r="X5" i="5"/>
  <c r="Y5" i="5"/>
  <c r="V5" i="5"/>
  <c r="O5" i="5"/>
  <c r="P5" i="5"/>
  <c r="Q5" i="5"/>
  <c r="N5" i="5"/>
  <c r="G5" i="5"/>
  <c r="H5" i="5"/>
  <c r="I5" i="5"/>
  <c r="F5" i="5"/>
  <c r="L64" i="12" l="1"/>
  <c r="G64" i="12"/>
  <c r="D64" i="12"/>
  <c r="G63" i="12"/>
  <c r="D63" i="12"/>
  <c r="G62" i="12"/>
  <c r="H64" i="12" s="1"/>
  <c r="D62" i="12"/>
  <c r="L61" i="12"/>
  <c r="G61" i="12"/>
  <c r="D61" i="12"/>
  <c r="G60" i="12"/>
  <c r="D60" i="12"/>
  <c r="G59" i="12"/>
  <c r="D59" i="12"/>
  <c r="L58" i="12"/>
  <c r="G58" i="12"/>
  <c r="D58" i="12"/>
  <c r="G57" i="12"/>
  <c r="D57" i="12"/>
  <c r="G56" i="12"/>
  <c r="H58" i="12" s="1"/>
  <c r="D56" i="12"/>
  <c r="L55" i="12"/>
  <c r="G55" i="12"/>
  <c r="D55" i="12"/>
  <c r="G54" i="12"/>
  <c r="H55" i="12" s="1"/>
  <c r="D54" i="12"/>
  <c r="E55" i="12" s="1"/>
  <c r="I55" i="12" s="1"/>
  <c r="L49" i="12"/>
  <c r="G49" i="12"/>
  <c r="D49" i="12"/>
  <c r="G48" i="12"/>
  <c r="D48" i="12"/>
  <c r="G47" i="12"/>
  <c r="D47" i="12"/>
  <c r="L46" i="12"/>
  <c r="G46" i="12"/>
  <c r="D46" i="12"/>
  <c r="G45" i="12"/>
  <c r="D45" i="12"/>
  <c r="G44" i="12"/>
  <c r="D44" i="12"/>
  <c r="L43" i="12"/>
  <c r="G43" i="12"/>
  <c r="D43" i="12"/>
  <c r="G42" i="12"/>
  <c r="D42" i="12"/>
  <c r="G41" i="12"/>
  <c r="D41" i="12"/>
  <c r="L40" i="12"/>
  <c r="G40" i="12"/>
  <c r="D40" i="12"/>
  <c r="G39" i="12"/>
  <c r="H40" i="12" s="1"/>
  <c r="D39" i="12"/>
  <c r="E40" i="12" s="1"/>
  <c r="L34" i="12"/>
  <c r="G34" i="12"/>
  <c r="D34" i="12"/>
  <c r="G33" i="12"/>
  <c r="D33" i="12"/>
  <c r="G32" i="12"/>
  <c r="D32" i="12"/>
  <c r="E34" i="12" s="1"/>
  <c r="L31" i="12"/>
  <c r="G31" i="12"/>
  <c r="D31" i="12"/>
  <c r="G30" i="12"/>
  <c r="D30" i="12"/>
  <c r="G29" i="12"/>
  <c r="D29" i="12"/>
  <c r="L28" i="12"/>
  <c r="G28" i="12"/>
  <c r="D28" i="12"/>
  <c r="G27" i="12"/>
  <c r="D27" i="12"/>
  <c r="G26" i="12"/>
  <c r="H28" i="12" s="1"/>
  <c r="D26" i="12"/>
  <c r="L25" i="12"/>
  <c r="G25" i="12"/>
  <c r="D25" i="12"/>
  <c r="G24" i="12"/>
  <c r="D24" i="12"/>
  <c r="H25" i="12" l="1"/>
  <c r="H61" i="12"/>
  <c r="E25" i="12"/>
  <c r="H46" i="12"/>
  <c r="E64" i="12"/>
  <c r="I64" i="12" s="1"/>
  <c r="E61" i="12"/>
  <c r="I61" i="12" s="1"/>
  <c r="H34" i="12"/>
  <c r="I34" i="12" s="1"/>
  <c r="E28" i="12"/>
  <c r="I28" i="12" s="1"/>
  <c r="E58" i="12"/>
  <c r="I58" i="12" s="1"/>
  <c r="I40" i="12"/>
  <c r="E46" i="12"/>
  <c r="I46" i="12" s="1"/>
  <c r="E43" i="12"/>
  <c r="I43" i="12" s="1"/>
  <c r="E31" i="12"/>
  <c r="I31" i="12" s="1"/>
  <c r="H43" i="12"/>
  <c r="H31" i="12"/>
  <c r="E49" i="12"/>
  <c r="H49" i="12"/>
  <c r="I49" i="12"/>
  <c r="Y26" i="1" l="1"/>
  <c r="X26" i="1"/>
  <c r="W26" i="1"/>
  <c r="V26" i="1"/>
  <c r="U26" i="1"/>
  <c r="T26" i="1"/>
  <c r="S26" i="1"/>
  <c r="R26" i="1"/>
  <c r="Q26" i="1"/>
  <c r="P26" i="1"/>
  <c r="O26" i="1"/>
  <c r="M26" i="1"/>
  <c r="L26" i="1"/>
  <c r="Y25" i="1"/>
  <c r="X25" i="1"/>
  <c r="W25" i="1"/>
  <c r="V25" i="1"/>
  <c r="U25" i="1"/>
  <c r="T25" i="1"/>
  <c r="S25" i="1"/>
  <c r="Q25" i="1"/>
  <c r="P25" i="1"/>
  <c r="O25" i="1"/>
  <c r="M25" i="1"/>
  <c r="L25" i="1"/>
  <c r="Y24" i="1"/>
  <c r="X24" i="1"/>
  <c r="W24" i="1"/>
  <c r="V24" i="1"/>
  <c r="U24" i="1"/>
  <c r="T24" i="1"/>
  <c r="S24" i="1"/>
  <c r="Q24" i="1"/>
  <c r="P24" i="1"/>
  <c r="O24" i="1"/>
  <c r="M24" i="1"/>
  <c r="L24" i="1"/>
  <c r="Y23" i="1"/>
  <c r="X23" i="1"/>
  <c r="W23" i="1"/>
  <c r="V23" i="1"/>
  <c r="U23" i="1"/>
  <c r="T23" i="1"/>
  <c r="S23" i="1"/>
  <c r="C7" i="11"/>
  <c r="E7" i="11" s="1"/>
  <c r="R24" i="1" s="1"/>
  <c r="Q23" i="1"/>
  <c r="P23" i="1"/>
  <c r="O23" i="1"/>
  <c r="M23" i="1"/>
  <c r="L23" i="1"/>
  <c r="F14" i="11"/>
  <c r="F13" i="11"/>
  <c r="F12" i="11"/>
  <c r="F11" i="11"/>
  <c r="F10" i="11"/>
  <c r="F9" i="11"/>
  <c r="F8" i="11"/>
  <c r="F6" i="11"/>
  <c r="F5" i="11"/>
  <c r="F4" i="11"/>
  <c r="F3" i="11"/>
  <c r="F2" i="11"/>
  <c r="E14" i="11"/>
  <c r="E13" i="11"/>
  <c r="E12" i="11"/>
  <c r="E11" i="11"/>
  <c r="E10" i="11"/>
  <c r="E9" i="11"/>
  <c r="E8" i="11"/>
  <c r="E6" i="11"/>
  <c r="E5" i="11"/>
  <c r="E4" i="11"/>
  <c r="E3" i="11"/>
  <c r="E2" i="11"/>
  <c r="D14" i="11"/>
  <c r="D13" i="11"/>
  <c r="D12" i="11"/>
  <c r="D11" i="11"/>
  <c r="D10" i="11"/>
  <c r="D9" i="11"/>
  <c r="D8" i="11"/>
  <c r="D7" i="11"/>
  <c r="D6" i="11"/>
  <c r="D5" i="11"/>
  <c r="D4" i="11"/>
  <c r="D3" i="11"/>
  <c r="D2" i="11"/>
  <c r="I10" i="10"/>
  <c r="H10" i="10"/>
  <c r="H9" i="10"/>
  <c r="J9" i="10" s="1"/>
  <c r="I8" i="10"/>
  <c r="H8" i="10"/>
  <c r="J8" i="10" s="1"/>
  <c r="I7" i="10"/>
  <c r="H7" i="10"/>
  <c r="I6" i="10"/>
  <c r="H6" i="10"/>
  <c r="J6" i="10" s="1"/>
  <c r="I5" i="10"/>
  <c r="H5" i="10"/>
  <c r="I4" i="10"/>
  <c r="H4" i="10"/>
  <c r="J4" i="10" s="1"/>
  <c r="I3" i="10"/>
  <c r="H3" i="10"/>
  <c r="J3" i="10" s="1"/>
  <c r="C10" i="10"/>
  <c r="B10" i="10"/>
  <c r="B9" i="10"/>
  <c r="D9" i="10" s="1"/>
  <c r="C8" i="10"/>
  <c r="B8" i="10"/>
  <c r="C7" i="10"/>
  <c r="B7" i="10"/>
  <c r="C6" i="10"/>
  <c r="B6" i="10"/>
  <c r="C5" i="10"/>
  <c r="B5" i="10"/>
  <c r="B4" i="10"/>
  <c r="C4" i="10"/>
  <c r="C3" i="10"/>
  <c r="B3" i="10"/>
  <c r="J5" i="10" l="1"/>
  <c r="J7" i="10"/>
  <c r="D8" i="10"/>
  <c r="D10" i="10"/>
  <c r="D4" i="10"/>
  <c r="D7" i="10"/>
  <c r="D6" i="10"/>
  <c r="D3" i="10"/>
  <c r="D5" i="10"/>
  <c r="J10" i="10"/>
  <c r="F7" i="11"/>
  <c r="R2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Ася</author>
  </authors>
  <commentList>
    <comment ref="L22" authorId="0" shapeId="0" xr:uid="{95A69EC7-95A5-4626-8C19-D2D447FE15EE}">
      <text>
        <r>
          <rPr>
            <b/>
            <sz val="9"/>
            <color indexed="81"/>
            <rFont val="Tahoma"/>
            <family val="2"/>
            <charset val="204"/>
          </rPr>
          <t>Ася:</t>
        </r>
        <r>
          <rPr>
            <sz val="9"/>
            <color indexed="81"/>
            <rFont val="Tahoma"/>
            <family val="2"/>
            <charset val="204"/>
          </rPr>
          <t xml:space="preserve">
0 = last place; 1 = leader
</t>
        </r>
      </text>
    </comment>
    <comment ref="L37" authorId="0" shapeId="0" xr:uid="{66862E73-4FE7-48F0-B141-FA895D7F14A4}">
      <text>
        <r>
          <rPr>
            <b/>
            <sz val="9"/>
            <color indexed="81"/>
            <rFont val="Tahoma"/>
            <family val="2"/>
            <charset val="204"/>
          </rPr>
          <t>Ася:</t>
        </r>
        <r>
          <rPr>
            <sz val="9"/>
            <color indexed="81"/>
            <rFont val="Tahoma"/>
            <family val="2"/>
            <charset val="204"/>
          </rPr>
          <t xml:space="preserve">
0 = last place; 1 = leader
</t>
        </r>
      </text>
    </comment>
    <comment ref="L52" authorId="0" shapeId="0" xr:uid="{EE94CCB5-E62E-4CB4-BC7D-3D6496194562}">
      <text>
        <r>
          <rPr>
            <b/>
            <sz val="9"/>
            <color indexed="81"/>
            <rFont val="Tahoma"/>
            <family val="2"/>
            <charset val="204"/>
          </rPr>
          <t>Ася:</t>
        </r>
        <r>
          <rPr>
            <sz val="9"/>
            <color indexed="81"/>
            <rFont val="Tahoma"/>
            <family val="2"/>
            <charset val="204"/>
          </rPr>
          <t xml:space="preserve">
0 = last place; 1 = leader
</t>
        </r>
      </text>
    </comment>
  </commentList>
</comments>
</file>

<file path=xl/sharedStrings.xml><?xml version="1.0" encoding="utf-8"?>
<sst xmlns="http://schemas.openxmlformats.org/spreadsheetml/2006/main" count="2517" uniqueCount="738">
  <si>
    <t>Company</t>
  </si>
  <si>
    <t>Tesla</t>
  </si>
  <si>
    <t>BYD</t>
  </si>
  <si>
    <t>Period</t>
  </si>
  <si>
    <t>2023Q1</t>
  </si>
  <si>
    <t>2023Q2</t>
  </si>
  <si>
    <t>2023Q3</t>
  </si>
  <si>
    <t>2023Q4</t>
  </si>
  <si>
    <t>2024Q1</t>
  </si>
  <si>
    <t>2024Q2</t>
  </si>
  <si>
    <t>2024Q3</t>
  </si>
  <si>
    <t>2024Q4</t>
  </si>
  <si>
    <t>2025Q1</t>
  </si>
  <si>
    <t>2025Q2</t>
  </si>
  <si>
    <t>2025Q3</t>
  </si>
  <si>
    <t>2025Q4</t>
  </si>
  <si>
    <t>AI R&amp;D Investment</t>
  </si>
  <si>
    <t>AI-related patent filed (patents in ADAS, AI chips)</t>
  </si>
  <si>
    <t>R&amp;D spending (in million USD)</t>
  </si>
  <si>
    <t>AI Integration</t>
  </si>
  <si>
    <t># of AI features per product added</t>
  </si>
  <si>
    <t>Passive AI (navigation, recommendations)</t>
  </si>
  <si>
    <t>Interactive AI (voice assistant, chatbot)</t>
  </si>
  <si>
    <t>Adaptive AI (personalization, learning behavior)</t>
  </si>
  <si>
    <t>AI-related OTA and software-change intensity</t>
  </si>
  <si>
    <t>App ecosystem depth (0-3)</t>
  </si>
  <si>
    <t>Localization Depth</t>
  </si>
  <si>
    <t>Product/service adaptation ( 0 imports only / 1 local assembly / 2 partial production / 3 full local manufacturing)</t>
  </si>
  <si>
    <t>Local language UX/UI ( 0 none / 1 translation only / 2 adapted interface / 3 culturally adapted UX)</t>
  </si>
  <si>
    <t>Local production facilities (binary)</t>
  </si>
  <si>
    <t>Local data center (binary)</t>
  </si>
  <si>
    <t>Local R&amp;D or design hubs (binary)</t>
  </si>
  <si>
    <t>Regulatory Fit</t>
  </si>
  <si>
    <t>Compliance statements in CSR/ESG reports</t>
  </si>
  <si>
    <t>1 = general compliance language</t>
  </si>
  <si>
    <t>1 (basic system)</t>
  </si>
  <si>
    <t>2 (formalized + code + privacy system)</t>
  </si>
  <si>
    <t>3 (operational + region-specific)</t>
  </si>
  <si>
    <t>OTA and data localization compliance</t>
  </si>
  <si>
    <t>2 = strong localization + OTA compliance evidence</t>
  </si>
  <si>
    <t>1 (framework)</t>
  </si>
  <si>
    <t>3 (fully operational + EU data + OTA governance)</t>
  </si>
  <si>
    <t>Regulatory approvals</t>
  </si>
  <si>
    <t>1 = operating approval, but no confirmed full FSD approval</t>
  </si>
  <si>
    <t>1 (implicit compliance)</t>
  </si>
  <si>
    <t>2 = data-security compliance recognized; restrictions eased; still no confirmed full FSD approval</t>
  </si>
  <si>
    <t>2 (continued compliance)</t>
  </si>
  <si>
    <t>3 (continuous WVTA compliance)</t>
  </si>
  <si>
    <t>1 = vehicle market access implied, but no directly verified annual certification record yet</t>
  </si>
  <si>
    <t>2 = external compliance validation for data handling, but not yet a full autonomous-driving approval</t>
  </si>
  <si>
    <t>3 (ISO 21434 + UN R155/R156)</t>
  </si>
  <si>
    <t>engagement with AI-enabled digital services</t>
  </si>
  <si>
    <t xml:space="preserve">Ratings Volume </t>
  </si>
  <si>
    <t xml:space="preserve">Positive Share </t>
  </si>
  <si>
    <t>Average Rating</t>
  </si>
  <si>
    <t>Rating Velocity</t>
  </si>
  <si>
    <t>EV market share</t>
  </si>
  <si>
    <t>GDP Nominal in trillion USD</t>
  </si>
  <si>
    <t>Passenger cars sales in units</t>
  </si>
  <si>
    <t>Meaning</t>
  </si>
  <si>
    <t>Quarter</t>
  </si>
  <si>
    <t>Passive AI</t>
  </si>
  <si>
    <t>Autopilot/ADAS, OTA updates, Sentry Mode</t>
  </si>
  <si>
    <t>Interactive AI</t>
  </si>
  <si>
    <t>Actually Smart Summon in China</t>
  </si>
  <si>
    <t>Adaptive AI</t>
  </si>
  <si>
    <t>God’s Eye / DiPilot intelligent-driving expansion</t>
  </si>
  <si>
    <t>Observed AI features</t>
  </si>
  <si>
    <t>FSD-like assisted-driving update; local mapping/navigation support</t>
  </si>
  <si>
    <t>ADAS, intelligent voice control, connected/cloud services, OTA updates</t>
  </si>
  <si>
    <t>XUANJI intelligent vehicle architecture</t>
  </si>
  <si>
    <t>Year</t>
  </si>
  <si>
    <t>Main observed update evidence</t>
  </si>
  <si>
    <t>Descriptive classification</t>
  </si>
  <si>
    <t>Source</t>
  </si>
  <si>
    <t>China recall update related to regenerative braking strategy and accelerator-warning behavior was identified, but excluded because it was treated as a safety/software fix rather than AI-related digital functionality.</t>
  </si>
  <si>
    <t>Not included in AI-related OTA count</t>
  </si>
  <si>
    <t>Reuters, 2023</t>
  </si>
  <si>
    <t>Actually Smart Summon rollout in China; smart-driving capability expansion around China-specific vehicle/software ecosystem.</t>
  </si>
  <si>
    <t>New AI functionality; feature improvement / smart-driving capability support</t>
  </si>
  <si>
    <t>CnEVPost, 2024a; CnEVPost, 2024b</t>
  </si>
  <si>
    <t>FSD-like city-road assisted-driving software update in China, including navigation-route driving, intersection and traffic-signal behavior, and driver-attention monitoring.</t>
  </si>
  <si>
    <t>New AI functionality; feature improvement; localization support</t>
  </si>
  <si>
    <t>CnEVPost, 2025</t>
  </si>
  <si>
    <t>Early European/German software localization and connected-service rollout, including German-language menus/navigation and CarPlay/Android Auto-related functionality.</t>
  </si>
  <si>
    <t>Localization update; feature improvement; connected-service improvement</t>
  </si>
  <si>
    <t>GoingElectric, 2023; WhichCar, 2023</t>
  </si>
  <si>
    <t>OTA 1.7 / 1.7.1 discussions and media evidence of software/interface improvements, including navigation, heating, seat-heating controls, charging-planning refinements, wireless CarPlay, and ADAS-related optimization.</t>
  </si>
  <si>
    <t>Feature improvements; localization updates; ADAS-related improvement</t>
  </si>
  <si>
    <t>BYD Atto 3 Forum, 2024; CarExpert, 2024</t>
  </si>
  <si>
    <t>OTA 2.0 user evidence and assisted-driving improvement evidence for ATTO 3 after Euro NCAP assessment.</t>
  </si>
  <si>
    <t>Feature improvements; assisted-driving improvement; localization/interface refinement</t>
  </si>
  <si>
    <t>BYD Atto 3 Forum, 2025; Euro NCAP, 2025</t>
  </si>
  <si>
    <t>core</t>
  </si>
  <si>
    <t>No/unclear app integration</t>
  </si>
  <si>
    <t>Basic app presence</t>
  </si>
  <si>
    <t>Remote-control and vehicle-status integration</t>
  </si>
  <si>
    <t>Smart ecosystem integration with app, vehicle data, connected services, AI/smart features, or behavioral-data use</t>
  </si>
  <si>
    <t>Score</t>
  </si>
  <si>
    <t>Remote control</t>
  </si>
  <si>
    <t>Smart recommendations</t>
  </si>
  <si>
    <t>Behavioral/status data</t>
  </si>
  <si>
    <t>Rationale</t>
  </si>
  <si>
    <t>Sources</t>
  </si>
  <si>
    <t>Yes</t>
  </si>
  <si>
    <t>Yes/partial</t>
  </si>
  <si>
    <t>Tesla app is deeply connected with vehicle controls, climate, charging/range, charging history/behavior, service diagnostics/location data, software updates, and upgrades.</t>
  </si>
  <si>
    <t>Tesla app support; local App Radar/app review evidence</t>
  </si>
  <si>
    <t>Limited</t>
  </si>
  <si>
    <t>No clear evidence</t>
  </si>
  <si>
    <t>BYD app presence is observable, but Germany/Europe evidence shows early registration, localization, and functionality limits.</t>
  </si>
  <si>
    <t>BYD AUTO app description; local App Radar/app review/forum evidence</t>
  </si>
  <si>
    <t>Yes/vehicle status</t>
  </si>
  <si>
    <t>BYD app supports remote control and vehicle-status inquiry, but evidence from Germany/Europe shows weaker integration, country differences, and reliability/functionality limits.</t>
  </si>
  <si>
    <t>Qualitative Coding Scheme for User Feedback Analysis</t>
  </si>
  <si>
    <t>Code</t>
  </si>
  <si>
    <t>Category</t>
  </si>
  <si>
    <t>Description</t>
  </si>
  <si>
    <t>Example Interpretation</t>
  </si>
  <si>
    <t>USE+</t>
  </si>
  <si>
    <t>Perceived Usefulness (Positive)</t>
  </si>
  <si>
    <t>User expresses that the feature/service is helpful, valuable, or improves experience</t>
  </si>
  <si>
    <t>“Navigation works great”, “Very useful app”</t>
  </si>
  <si>
    <t>USE−</t>
  </si>
  <si>
    <t>Perceived Usefulness (Negative)</t>
  </si>
  <si>
    <t>User finds the feature/service unnecessary or not beneficial</t>
  </si>
  <si>
    <t>“Doesn’t add any value”, “Useless feature”</t>
  </si>
  <si>
    <t>UX+</t>
  </si>
  <si>
    <t>Usability / Interface (Positive)</t>
  </si>
  <si>
    <t>Positive evaluation of ease of use, interface design, or interaction clarity</t>
  </si>
  <si>
    <t>“Easy to use”, “Clean interface”</t>
  </si>
  <si>
    <t>UX−</t>
  </si>
  <si>
    <t>Usability / Interface (Negative)</t>
  </si>
  <si>
    <t>Complaints about complexity, confusion, or poor interface design</t>
  </si>
  <si>
    <t>“Hard to use”, “Confusing layout”</t>
  </si>
  <si>
    <t>REL+</t>
  </si>
  <si>
    <t>Reliability / Performance (Positive)</t>
  </si>
  <si>
    <t>System performs consistently and without errors</t>
  </si>
  <si>
    <t>“Works smoothly”, “No issues so far”</t>
  </si>
  <si>
    <t>REL−</t>
  </si>
  <si>
    <t>Reliability / Performance (Negative)</t>
  </si>
  <si>
    <t>Bugs, crashes, delays, or inconsistent performance</t>
  </si>
  <si>
    <t>“App crashes”, “System unreliable”</t>
  </si>
  <si>
    <t>TRUST+</t>
  </si>
  <si>
    <t>Trust &amp; Safety (Positive)</t>
  </si>
  <si>
    <t>User expresses confidence in system safety or reliability</t>
  </si>
  <si>
    <t>“I trust this system”, “Feels safe to use”</t>
  </si>
  <si>
    <t>TRUST−</t>
  </si>
  <si>
    <t>Trust &amp; Safety (Negative)</t>
  </si>
  <si>
    <t>Concerns about safety, risk, or lack of trust</t>
  </si>
  <si>
    <t>LOC+</t>
  </si>
  <si>
    <t>Localization / Context Fit (Positive)</t>
  </si>
  <si>
    <t>System works well in local conditions (roads, language, regulations)</t>
  </si>
  <si>
    <t>“Works well in my country”, “Good local adaptation”</t>
  </si>
  <si>
    <t>LOC−</t>
  </si>
  <si>
    <t>Localization / Context Fit (Negative)</t>
  </si>
  <si>
    <t>System poorly adapted to local environment</t>
  </si>
  <si>
    <t>DIGI+</t>
  </si>
  <si>
    <t>Digital Ecosystem / Connectivity (Positive)</t>
  </si>
  <si>
    <t>Positive experience with app, connectivity, updates, or integration</t>
  </si>
  <si>
    <t>“App sync is perfect”, “Updates are smooth”</t>
  </si>
  <si>
    <t>DIGI−</t>
  </si>
  <si>
    <t>Digital Ecosystem / Connectivity (Negative)</t>
  </si>
  <si>
    <t>Issues with app connection, updates, or digital services</t>
  </si>
  <si>
    <t>ISSUE</t>
  </si>
  <si>
    <t>General Issue / Complaint</t>
  </si>
  <si>
    <t>Complaint not clearly fitting other categories</t>
  </si>
  <si>
    <t>“Something is wrong”, unclear dissatisfaction</t>
  </si>
  <si>
    <t>AI+</t>
  </si>
  <si>
    <t>AI Mention (Positive)</t>
  </si>
  <si>
    <t>Explicit positive mention of AI or intelligent features</t>
  </si>
  <si>
    <t>“AI assistant is impressive”</t>
  </si>
  <si>
    <t>AI−</t>
  </si>
  <si>
    <t>AI Mention (Negative)</t>
  </si>
  <si>
    <t>Explicit negative mention of AI or intelligent features</t>
  </si>
  <si>
    <t>“AI system is flawed”</t>
  </si>
  <si>
    <t>ID</t>
  </si>
  <si>
    <t>Market</t>
  </si>
  <si>
    <t>Platform</t>
  </si>
  <si>
    <t>Date</t>
  </si>
  <si>
    <t>Review Text (short)</t>
  </si>
  <si>
    <t>Notes</t>
  </si>
  <si>
    <t>China</t>
  </si>
  <si>
    <t>App Store</t>
  </si>
  <si>
    <t>2026 Q1</t>
  </si>
  <si>
    <t>Widget became blank after update</t>
  </si>
  <si>
    <t>update broke feature</t>
  </si>
  <si>
    <t>2025 Q3</t>
  </si>
  <si>
    <t>Wants dashcam download + timestamp</t>
  </si>
  <si>
    <t>feature request</t>
  </si>
  <si>
    <t>Voice assistant weak, poor obstacle detection</t>
  </si>
  <si>
    <t>safety + AI expectation</t>
  </si>
  <si>
    <t>2025 Q2</t>
  </si>
  <si>
    <t>strong negative</t>
  </si>
  <si>
    <t>2025 Q1</t>
  </si>
  <si>
    <t>Wants charging station info in navigation</t>
  </si>
  <si>
    <t>ecosystem request</t>
  </si>
  <si>
    <t>2024 Q4</t>
  </si>
  <si>
    <t>Wants more charging stats customization</t>
  </si>
  <si>
    <t>feature expansion</t>
  </si>
  <si>
    <t>2024 Q3</t>
  </si>
  <si>
    <t>Wants scheduled ventilation</t>
  </si>
  <si>
    <t>usability improvement</t>
  </si>
  <si>
    <t>2024 Q1</t>
  </si>
  <si>
    <t>Wants charging availability info</t>
  </si>
  <si>
    <t>infrastructure link</t>
  </si>
  <si>
    <t>privacy concern</t>
  </si>
  <si>
    <t>2023 Q4</t>
  </si>
  <si>
    <t>Slow connection, poor scheduling logic</t>
  </si>
  <si>
    <t>connectivity issues</t>
  </si>
  <si>
    <t>Charging stations data is limited, wants improvement</t>
  </si>
  <si>
    <t>Supercharger display is accurate, navigation should show conditions more precisely</t>
  </si>
  <si>
    <t>2023 Q3</t>
  </si>
  <si>
    <t>multi-issue complaint + improvement request</t>
  </si>
  <si>
    <t>Likes battery capacity and health display</t>
  </si>
  <si>
    <t>positive feedback</t>
  </si>
  <si>
    <t>2023 Q1</t>
  </si>
  <si>
    <t>Only the owner should see the location, no privacy</t>
  </si>
  <si>
    <t>Add permission settings to view the location to protect privacy</t>
  </si>
  <si>
    <t>Absolutely no privacy now, multiple phones can see location</t>
  </si>
  <si>
    <t>Play Store</t>
  </si>
  <si>
    <t>Map disappears after update</t>
  </si>
  <si>
    <t>map failure</t>
  </si>
  <si>
    <t>Loves autopilot, reduces stress</t>
  </si>
  <si>
    <t>positive AI outcome</t>
  </si>
  <si>
    <t>2025 Q4</t>
  </si>
  <si>
    <t>Update breaks CN account (451 error)</t>
  </si>
  <si>
    <t>version conflict</t>
  </si>
  <si>
    <t>App unusable in mainland China</t>
  </si>
  <si>
    <t>localization failure</t>
  </si>
  <si>
    <t>Payment system unclear</t>
  </si>
  <si>
    <t>payment UX</t>
  </si>
  <si>
    <t>Cannot use in China, annoying updates</t>
  </si>
  <si>
    <t>system unusable</t>
  </si>
  <si>
    <t>CN/Japan switching causes issues</t>
  </si>
  <si>
    <t>cross-region issue</t>
  </si>
  <si>
    <t>Play version cannot manage CN cars</t>
  </si>
  <si>
    <t>UX + system issue</t>
  </si>
  <si>
    <t>Version conflict CN vs global</t>
  </si>
  <si>
    <t>version mismatch</t>
  </si>
  <si>
    <t>Charging data inaccurate</t>
  </si>
  <si>
    <t>misleading info</t>
  </si>
  <si>
    <t>Remote control fails on some phones</t>
  </si>
  <si>
    <t>device compatibility</t>
  </si>
  <si>
    <t>CN-specific version confusion</t>
  </si>
  <si>
    <t>ecosystem fragmentation</t>
  </si>
  <si>
    <t>Map black, no notifications</t>
  </si>
  <si>
    <t>multiple failures</t>
  </si>
  <si>
    <t>CN version worse than global</t>
  </si>
  <si>
    <t>dissatisfaction</t>
  </si>
  <si>
    <t>Cannot connect after update</t>
  </si>
  <si>
    <t>connection failure</t>
  </si>
  <si>
    <t>451 error, cannot connect</t>
  </si>
  <si>
    <t>repeat issue</t>
  </si>
  <si>
    <t>Play version not usable in CN</t>
  </si>
  <si>
    <t>core issue</t>
  </si>
  <si>
    <t>Warning not to update Play version</t>
  </si>
  <si>
    <t>user workaround</t>
  </si>
  <si>
    <t>CN version works, Play fails</t>
  </si>
  <si>
    <t>localization</t>
  </si>
  <si>
    <t>Auto-update breaks app</t>
  </si>
  <si>
    <t>UX + system</t>
  </si>
  <si>
    <t>Cannot control car remotely</t>
  </si>
  <si>
    <t>remote fail</t>
  </si>
  <si>
    <t>2024 Q2</t>
  </si>
  <si>
    <t>No map in China, no notifications</t>
  </si>
  <si>
    <t>missing features</t>
  </si>
  <si>
    <t>Suggest merge CN &amp; global versions</t>
  </si>
  <si>
    <t>Cannot locate in China</t>
  </si>
  <si>
    <t>localization fail</t>
  </si>
  <si>
    <t>Wants unified version</t>
  </si>
  <si>
    <t>request</t>
  </si>
  <si>
    <t>CN users ignored, no fixes</t>
  </si>
  <si>
    <t>China app maps drift, Play version black map, must reinstall CN version</t>
  </si>
  <si>
    <t>severe localization/app failure</t>
  </si>
  <si>
    <t>Could see location before, later versions cannot</t>
  </si>
  <si>
    <t>functionality loss</t>
  </si>
  <si>
    <t>Location no longer visible, even with workaround</t>
  </si>
  <si>
    <t>recurring map/location failure</t>
  </si>
  <si>
    <t>Auto-updated app breaks maps again, black screen</t>
  </si>
  <si>
    <t>update + map failure</t>
  </si>
  <si>
    <t>2023 Q2</t>
  </si>
  <si>
    <t>Wants light mode; dark mode hard to see in sunlight</t>
  </si>
  <si>
    <t>design/usability request</t>
  </si>
  <si>
    <t>Wants map provider choice to solve display issue after updates</t>
  </si>
  <si>
    <t>feature request tied to localization</t>
  </si>
  <si>
    <t>Thread 113884059</t>
  </si>
  <si>
    <t>Autohome Forum</t>
  </si>
  <si>
    <t>Thread 110684131</t>
  </si>
  <si>
    <t>Thread 107606189</t>
  </si>
  <si>
    <t>Thread 110795738</t>
  </si>
  <si>
    <t>Thread 110825872</t>
  </si>
  <si>
    <t>Thread 110559634</t>
  </si>
  <si>
    <t>Thread 110212244</t>
  </si>
  <si>
    <t>Germany</t>
  </si>
  <si>
    <t>Missing features (charging, range, roof)</t>
  </si>
  <si>
    <t>Update broke app, network errors</t>
  </si>
  <si>
    <t>Bad UI, cluttered, missing features</t>
  </si>
  <si>
    <t>Good but limited users (accounts issue)</t>
  </si>
  <si>
    <t>Works but missing Apple Watch</t>
  </si>
  <si>
    <t>Works well</t>
  </si>
  <si>
    <t>Notifications not working</t>
  </si>
  <si>
    <t>Missing alarms, worse than Hyundai</t>
  </si>
  <si>
    <t>Poor UX logic, slow interaction</t>
  </si>
  <si>
    <t>Works but seat heating unreliable</t>
  </si>
  <si>
    <t>Basic functions, no dark mode/widgets issues</t>
  </si>
  <si>
    <t>Charging stop not working</t>
  </si>
  <si>
    <t>Different features by country</t>
  </si>
  <si>
    <t>Missing battery preheating</t>
  </si>
  <si>
    <t>App crashes after updates, no access</t>
  </si>
  <si>
    <t>Missing scheduling flexibility</t>
  </si>
  <si>
    <t>App crashes on macOS</t>
  </si>
  <si>
    <t>Missing lock notification</t>
  </si>
  <si>
    <t>Only owner can use app</t>
  </si>
  <si>
    <t>Minimal functionality, missing features</t>
  </si>
  <si>
    <t>App unusable (QR issue)</t>
  </si>
  <si>
    <t>Cannot register car</t>
  </si>
  <si>
    <t>QR expired, registration fails</t>
  </si>
  <si>
    <t>Cannot add car</t>
  </si>
  <si>
    <t>Only one device allowed</t>
  </si>
  <si>
    <t>Login/account issues</t>
  </si>
  <si>
    <t>Heating control not working</t>
  </si>
  <si>
    <t>Registration not possible</t>
  </si>
  <si>
    <t>Missing ventilation features</t>
  </si>
  <si>
    <t>Slow registration but works</t>
  </si>
  <si>
    <t>Cannot create account</t>
  </si>
  <si>
    <t>Works well, some improvements needed</t>
  </si>
  <si>
    <t>Works fine after setup</t>
  </si>
  <si>
    <t>Login impossible</t>
  </si>
  <si>
    <t>Registration impossible for non-owner</t>
  </si>
  <si>
    <t>App unusable (no account)</t>
  </si>
  <si>
    <t>Missing charging control</t>
  </si>
  <si>
    <t>Wants charging toggle</t>
  </si>
  <si>
    <t>Very good app</t>
  </si>
  <si>
    <t>Network error suddenly</t>
  </si>
  <si>
    <t>Constant logout issue</t>
  </si>
  <si>
    <t>Good, easy to use</t>
  </si>
  <si>
    <t>Missing trunk + smartwatch bug</t>
  </si>
  <si>
    <t>Functions don’t work</t>
  </si>
  <si>
    <t>Charging bug + network issue</t>
  </si>
  <si>
    <t>Missing heating feature</t>
  </si>
  <si>
    <t>Good app</t>
  </si>
  <si>
    <t>Bad UI, translation issues</t>
  </si>
  <si>
    <t>Worse than China version</t>
  </si>
  <si>
    <t>Heating fails remotely</t>
  </si>
  <si>
    <t>Missing heating control</t>
  </si>
  <si>
    <t>Missing heating function</t>
  </si>
  <si>
    <t>Missing seat memory control</t>
  </si>
  <si>
    <t>Missing driving data + nav</t>
  </si>
  <si>
    <t>Good, slow interaction</t>
  </si>
  <si>
    <t>Full control works</t>
  </si>
  <si>
    <t>Missing digital key</t>
  </si>
  <si>
    <t>Good, wants customization</t>
  </si>
  <si>
    <t>Missing service tracking</t>
  </si>
  <si>
    <t>Heating setup too complex</t>
  </si>
  <si>
    <t>Cannot stop charging</t>
  </si>
  <si>
    <t>Good but missing features</t>
  </si>
  <si>
    <t>Not all phones supported</t>
  </si>
  <si>
    <t>Missing security features</t>
  </si>
  <si>
    <t>Charging data outdated</t>
  </si>
  <si>
    <t>Missing climate features</t>
  </si>
  <si>
    <t>Cannot connect car</t>
  </si>
  <si>
    <t>Widgets fail repeatedly</t>
  </si>
  <si>
    <t>Missing navigation planning</t>
  </si>
  <si>
    <t>Missing stats + control</t>
  </si>
  <si>
    <t>Key not supported</t>
  </si>
  <si>
    <t>No route planning</t>
  </si>
  <si>
    <t>App extremely weak vs others</t>
  </si>
  <si>
    <t>WiFi unstable, missing features</t>
  </si>
  <si>
    <t>Bad UX, no improvements</t>
  </si>
  <si>
    <t>Good performance, missing features</t>
  </si>
  <si>
    <t>Missing multi-user support</t>
  </si>
  <si>
    <t>App cannot connect</t>
  </si>
  <si>
    <t>Climate scheduling poor</t>
  </si>
  <si>
    <t>Setup good, data inaccurate</t>
  </si>
  <si>
    <t>App useless, no features</t>
  </si>
  <si>
    <t>Missing location tracking</t>
  </si>
  <si>
    <t>Inconsistent across devices</t>
  </si>
  <si>
    <t>Not usable for rental</t>
  </si>
  <si>
    <t>GoingElectric</t>
  </si>
  <si>
    <t>Total</t>
  </si>
  <si>
    <t>USE</t>
  </si>
  <si>
    <t>UX</t>
  </si>
  <si>
    <t>REL</t>
  </si>
  <si>
    <t>TRUST</t>
  </si>
  <si>
    <t>LOC</t>
  </si>
  <si>
    <t>DIGI</t>
  </si>
  <si>
    <t>AI</t>
  </si>
  <si>
    <t>1 = basic group-level compliance, risk management, internal control, and regulatory compliance language.</t>
  </si>
  <si>
    <t>Firm</t>
  </si>
  <si>
    <t>Ratings volume</t>
  </si>
  <si>
    <t>Rating velocity</t>
  </si>
  <si>
    <t>Positive share</t>
  </si>
  <si>
    <t>Average rating</t>
  </si>
  <si>
    <t>Rank</t>
  </si>
  <si>
    <t>Brand ranking score</t>
  </si>
  <si>
    <t>Case_ID</t>
  </si>
  <si>
    <t>T-AP-001</t>
  </si>
  <si>
    <t>T-AP-002</t>
  </si>
  <si>
    <t>T-AP-003</t>
  </si>
  <si>
    <t>T-AP-004</t>
  </si>
  <si>
    <t>T-AP-005</t>
  </si>
  <si>
    <t>T-AP-006</t>
  </si>
  <si>
    <t>T-AP-007</t>
  </si>
  <si>
    <t>T-AP-008</t>
  </si>
  <si>
    <t>T-AP-009</t>
  </si>
  <si>
    <t>T-AP-010</t>
  </si>
  <si>
    <t>T-AP-011</t>
  </si>
  <si>
    <t>T-AP-012</t>
  </si>
  <si>
    <t>T-AP-013</t>
  </si>
  <si>
    <t>T-AP-014</t>
  </si>
  <si>
    <t>T-AP-015</t>
  </si>
  <si>
    <t>T-AP-016</t>
  </si>
  <si>
    <t>T-AP-017</t>
  </si>
  <si>
    <t>T-PL-018</t>
  </si>
  <si>
    <t>T-PL-019</t>
  </si>
  <si>
    <t>T-PL-020</t>
  </si>
  <si>
    <t>T-PL-021</t>
  </si>
  <si>
    <t>T-PL-022</t>
  </si>
  <si>
    <t>T-PL-023</t>
  </si>
  <si>
    <t>T-PL-024</t>
  </si>
  <si>
    <t>T-PL-025</t>
  </si>
  <si>
    <t>T-PL-026</t>
  </si>
  <si>
    <t>T-PL-027</t>
  </si>
  <si>
    <t>T-PL-028</t>
  </si>
  <si>
    <t>T-PL-029</t>
  </si>
  <si>
    <t>T-PL-030</t>
  </si>
  <si>
    <t>T-PL-031</t>
  </si>
  <si>
    <t>T-PL-032</t>
  </si>
  <si>
    <t>T-PL-033</t>
  </si>
  <si>
    <t>T-PL-034</t>
  </si>
  <si>
    <t>T-PL-035</t>
  </si>
  <si>
    <t>T-PL-036</t>
  </si>
  <si>
    <t>T-PL-037</t>
  </si>
  <si>
    <t>T-PL-038</t>
  </si>
  <si>
    <t>T-PL-039</t>
  </si>
  <si>
    <t>T-PL-040</t>
  </si>
  <si>
    <t>T-PL-041</t>
  </si>
  <si>
    <t>T-PL-042</t>
  </si>
  <si>
    <t>T-PL-043</t>
  </si>
  <si>
    <t>T-PL-044</t>
  </si>
  <si>
    <t>T-PL-045</t>
  </si>
  <si>
    <t>T-PL-046</t>
  </si>
  <si>
    <t>T-PL-047</t>
  </si>
  <si>
    <t>T-PL-048</t>
  </si>
  <si>
    <t>T-PL-049</t>
  </si>
  <si>
    <t>T-AU-050</t>
  </si>
  <si>
    <t>T-AU-051</t>
  </si>
  <si>
    <t>T-AU-052</t>
  </si>
  <si>
    <t>B-AP-077</t>
  </si>
  <si>
    <t>B-AP-078</t>
  </si>
  <si>
    <t>B-AP-079</t>
  </si>
  <si>
    <t>B-AP-080</t>
  </si>
  <si>
    <t>B-AP-081</t>
  </si>
  <si>
    <t>B-AP-082</t>
  </si>
  <si>
    <t>B-AP-083</t>
  </si>
  <si>
    <t>B-AP-084</t>
  </si>
  <si>
    <t>B-AP-085</t>
  </si>
  <si>
    <t>B-AP-086</t>
  </si>
  <si>
    <t>B-AP-087</t>
  </si>
  <si>
    <t>B-AP-088</t>
  </si>
  <si>
    <t>B-AP-089</t>
  </si>
  <si>
    <t>B-AP-090</t>
  </si>
  <si>
    <t>B-AP-091</t>
  </si>
  <si>
    <t>B-AP-092</t>
  </si>
  <si>
    <t>B-PL-113</t>
  </si>
  <si>
    <t>B-PL-114</t>
  </si>
  <si>
    <t>B-PL-115</t>
  </si>
  <si>
    <t>B-PL-116</t>
  </si>
  <si>
    <t>B-PL-117</t>
  </si>
  <si>
    <t>B-PL-118</t>
  </si>
  <si>
    <t>B-PL-119</t>
  </si>
  <si>
    <t>B-PL-120</t>
  </si>
  <si>
    <t>B-PL-121</t>
  </si>
  <si>
    <t>B-PL-122</t>
  </si>
  <si>
    <t>B-PL-123</t>
  </si>
  <si>
    <t>B-PL-124</t>
  </si>
  <si>
    <t>B-PL-125</t>
  </si>
  <si>
    <t>B-PL-126</t>
  </si>
  <si>
    <t>B-PL-127</t>
  </si>
  <si>
    <t>B-PL-128</t>
  </si>
  <si>
    <t>B-PL-129</t>
  </si>
  <si>
    <t>B-PL-130</t>
  </si>
  <si>
    <t>B-PL-131</t>
  </si>
  <si>
    <t>B-PL-132</t>
  </si>
  <si>
    <t>B-PL-133</t>
  </si>
  <si>
    <t>B-PL-134</t>
  </si>
  <si>
    <t>B-PL-135</t>
  </si>
  <si>
    <t>B-PL-136</t>
  </si>
  <si>
    <t>B-PL-137</t>
  </si>
  <si>
    <t>B-PL-138</t>
  </si>
  <si>
    <t>B-PL-139</t>
  </si>
  <si>
    <t>B-PL-140</t>
  </si>
  <si>
    <t>B-PL-141</t>
  </si>
  <si>
    <t>B-PL-142</t>
  </si>
  <si>
    <t>Pos</t>
  </si>
  <si>
    <t>Neg</t>
  </si>
  <si>
    <t>Tesla sales</t>
  </si>
  <si>
    <t>1,314,000</t>
  </si>
  <si>
    <t>1,772,000</t>
  </si>
  <si>
    <t>2,103,000</t>
  </si>
  <si>
    <t>2,553,000</t>
  </si>
  <si>
    <t>1,765,000</t>
  </si>
  <si>
    <t>2,334,000</t>
  </si>
  <si>
    <t>3,026,000</t>
  </si>
  <si>
    <t>3,768,000</t>
  </si>
  <si>
    <t>2,418,000</t>
  </si>
  <si>
    <t>3,044,000</t>
  </si>
  <si>
    <t>3,400,000</t>
  </si>
  <si>
    <t>3,939,000</t>
  </si>
  <si>
    <t>NEV retail total</t>
  </si>
  <si>
    <t>1-(2-1)/(15-1)=0.928571</t>
  </si>
  <si>
    <t>column: NEV 合计</t>
  </si>
  <si>
    <t>p.6 of each report</t>
  </si>
  <si>
    <t>line: 2(*month number*)月份</t>
  </si>
  <si>
    <t>number*10,000</t>
  </si>
  <si>
    <r>
      <rPr>
        <b/>
        <sz val="11"/>
        <color theme="1"/>
        <rFont val="Aptos Narrow"/>
        <family val="2"/>
        <scheme val="minor"/>
      </rPr>
      <t>NEV retail total:</t>
    </r>
    <r>
      <rPr>
        <sz val="11"/>
        <color theme="1"/>
        <rFont val="Aptos Narrow"/>
        <family val="2"/>
        <charset val="204"/>
        <scheme val="minor"/>
      </rPr>
      <t xml:space="preserve"> Market Success Data folder, nev folder</t>
    </r>
  </si>
  <si>
    <t>table: 2025年12月 新能源市场狭义乘用车TOP10厂商零售销量</t>
  </si>
  <si>
    <t>company name: 特斯拉中国 (Tesila Zhongguo or Tesla China)</t>
  </si>
  <si>
    <t>column 序 = rank</t>
  </si>
  <si>
    <t>BYD: 3,484,525 - 2,542,239 = 942,286</t>
  </si>
  <si>
    <t>Geely: 1,564,562 - 1,092,148 = 472,414</t>
  </si>
  <si>
    <t>SAIC-GM-Wuling: 772,147 - 507,424 = 264,723</t>
  </si>
  <si>
    <t>Harmony / 鸿蒙智行: 588,549 - 348,858 = 239,691</t>
  </si>
  <si>
    <t>Changan: 789,141 - 579,755 = 209,386</t>
  </si>
  <si>
    <t>Tesla: 625,698 - 432,704 = 192,994</t>
  </si>
  <si>
    <t>So 5 brands are above Tesla, which means:</t>
  </si>
  <si>
    <t>1-(6-1)/(10-1)=0.444444</t>
  </si>
  <si>
    <t>1-(5-1)/(10-1)=0.555556</t>
  </si>
  <si>
    <t>0.050</t>
  </si>
  <si>
    <t>0.049</t>
  </si>
  <si>
    <t>0.042</t>
  </si>
  <si>
    <t>0.075</t>
  </si>
  <si>
    <t>0.056</t>
  </si>
  <si>
    <t>0.062</t>
  </si>
  <si>
    <t>145,000</t>
  </si>
  <si>
    <t>1-(3-1)/(10-1)=0.777778</t>
  </si>
  <si>
    <t>0.060</t>
  </si>
  <si>
    <t>0.052</t>
  </si>
  <si>
    <t>1-(4-1)/(10-1)=0.666667</t>
  </si>
  <si>
    <t>137,000</t>
  </si>
  <si>
    <t>0.104</t>
  </si>
  <si>
    <t>140,000</t>
  </si>
  <si>
    <t>0.067</t>
  </si>
  <si>
    <t>1-(2-1)/(10-1)=0.888889</t>
  </si>
  <si>
    <t>157,000</t>
  </si>
  <si>
    <t>0.089</t>
  </si>
  <si>
    <t>Tesla 2025 Q4 rank = 6</t>
  </si>
  <si>
    <t>170,000</t>
  </si>
  <si>
    <r>
      <rPr>
        <b/>
        <sz val="11"/>
        <color theme="1"/>
        <rFont val="Aptos Narrow"/>
        <family val="2"/>
        <scheme val="minor"/>
      </rPr>
      <t>Tesla sales</t>
    </r>
    <r>
      <rPr>
        <sz val="11"/>
        <color theme="1"/>
        <rFont val="Aptos Narrow"/>
        <family val="2"/>
        <charset val="204"/>
        <scheme val="minor"/>
      </rPr>
      <t>:  Market Success Data folder, sales folder</t>
    </r>
  </si>
  <si>
    <t>*Sales are calculated as monthly sums or as differences between cumulatives (subject to rounding up in monthly variables)</t>
  </si>
  <si>
    <t>If rank was not clear, it was calculated this way:</t>
  </si>
  <si>
    <t>Report</t>
  </si>
  <si>
    <t>BYD BEV registrations</t>
  </si>
  <si>
    <t>monthly</t>
  </si>
  <si>
    <t>quarterly</t>
  </si>
  <si>
    <t>BEV overall sales</t>
  </si>
  <si>
    <t>market share</t>
  </si>
  <si>
    <t>ranking</t>
  </si>
  <si>
    <t>overall brands number</t>
  </si>
  <si>
    <t>relative position</t>
  </si>
  <si>
    <t>Jan report</t>
  </si>
  <si>
    <t>Jan 2023</t>
  </si>
  <si>
    <t>Feb report</t>
  </si>
  <si>
    <t>Jan–Feb 2023</t>
  </si>
  <si>
    <t>Mar report</t>
  </si>
  <si>
    <t>Jan–Mar 2023</t>
  </si>
  <si>
    <t>Apr report</t>
  </si>
  <si>
    <t>Jan–Apr 2023</t>
  </si>
  <si>
    <t>May report</t>
  </si>
  <si>
    <t>Jan–May 2023</t>
  </si>
  <si>
    <t>Jun report</t>
  </si>
  <si>
    <t>Jan–Jun 2023</t>
  </si>
  <si>
    <t>Jul report</t>
  </si>
  <si>
    <t>Jan–Jul 2023</t>
  </si>
  <si>
    <t>Aug report</t>
  </si>
  <si>
    <t>Jan–Aug 2023</t>
  </si>
  <si>
    <t>Sep report</t>
  </si>
  <si>
    <t>Jan–Sep 2023</t>
  </si>
  <si>
    <t>Oct report</t>
  </si>
  <si>
    <t>Jan–Oct 2023</t>
  </si>
  <si>
    <t>Nov report</t>
  </si>
  <si>
    <t>Jan–Nov 2023</t>
  </si>
  <si>
    <t>Dec report</t>
  </si>
  <si>
    <t>Jan–Dec 2023</t>
  </si>
  <si>
    <t>Jan 2024</t>
  </si>
  <si>
    <t>relative_position = 1 − (rank − 1)/(brands − 1)</t>
  </si>
  <si>
    <t>Jan–Feb 2024</t>
  </si>
  <si>
    <t>Jan–Mar 2024</t>
  </si>
  <si>
    <t>Jan–Apr 2024</t>
  </si>
  <si>
    <t>Jan–May 2024</t>
  </si>
  <si>
    <t>Jan–Jun 2024</t>
  </si>
  <si>
    <t>Jan–Jul 2024</t>
  </si>
  <si>
    <t>Jan–Aug 2024</t>
  </si>
  <si>
    <t>Jan–Sep 2024</t>
  </si>
  <si>
    <t>Jan–Oct 2024</t>
  </si>
  <si>
    <t>Jan–Nov 2024</t>
  </si>
  <si>
    <t>Jan–Dec 2024</t>
  </si>
  <si>
    <t>Jan 2025</t>
  </si>
  <si>
    <t>Jan–Feb 2025</t>
  </si>
  <si>
    <t>Jan–Mar 2025</t>
  </si>
  <si>
    <t>Jan–Apr 2025</t>
  </si>
  <si>
    <t>Jan–May 2025</t>
  </si>
  <si>
    <t>Jan–Jun 2025</t>
  </si>
  <si>
    <t>Jan–Jul 2025</t>
  </si>
  <si>
    <t>Jan–Aug 2025</t>
  </si>
  <si>
    <t>Jan–Sep 2025</t>
  </si>
  <si>
    <t>Jan–Oct 2025</t>
  </si>
  <si>
    <t>Jan–Nov 2025</t>
  </si>
  <si>
    <t>Jan–Dec 2025</t>
  </si>
  <si>
    <t xml:space="preserve">https://www.stats.gov.cn/english/ </t>
  </si>
  <si>
    <t>or file on GDP China</t>
  </si>
  <si>
    <t>Host market capacity (control variable)</t>
  </si>
  <si>
    <t xml:space="preserve">https://www.destatis.de/EN/Themes/Economy/National-Accounts-Domestic-Product/Tables/domestic-product-q-gdp.html </t>
  </si>
  <si>
    <t>or file on GDP Germany</t>
  </si>
  <si>
    <t>in blue circle in 2023-1 in sales, in purple or blue highlight for others</t>
  </si>
  <si>
    <t>Sources:</t>
  </si>
  <si>
    <t>GDP</t>
  </si>
  <si>
    <t>Passenger car sales:</t>
  </si>
  <si>
    <t>page title: 总体市场-狭义乘用车产销情况（YYYY年M月份) = Narrow passenger-car production and sales situation (date)</t>
  </si>
  <si>
    <t>row 狭义乘用车 (narrow passenger vehicles)</t>
  </si>
  <si>
    <t>column 零售 (retail)</t>
  </si>
  <si>
    <t>Market Success folder (BYD)</t>
  </si>
  <si>
    <t>Tesla Market success data-sales folder</t>
  </si>
  <si>
    <t>alternative_Antriebe reports</t>
  </si>
  <si>
    <t>cumulative total passenger-car market sales in the quarter-end report used to substract and get quarterly numbers</t>
  </si>
  <si>
    <t>quarterly total German passenger-car market sales (Pkw Insgesamt)</t>
  </si>
  <si>
    <t>Source: User Engagement data folders</t>
  </si>
  <si>
    <t>CSV files for play store or app store</t>
  </si>
  <si>
    <t>companies' reports</t>
  </si>
  <si>
    <t>BYD Q2/Q3/Q4 values are derived from cumulative H1/9M/FY company-report figures. Tesla values are reported directly in USD millions.</t>
  </si>
  <si>
    <t>1 RMB = 0.1455 USD</t>
  </si>
  <si>
    <t>Research and development in Statement of operations (around pp. 20-29)</t>
  </si>
  <si>
    <t>Research and development expenses / 研发费用, Consolidated Income Statement (around pp. 15-18 in q reports, 42-44, 64 interim, 117, 127, 144 in annual).</t>
  </si>
  <si>
    <t>in RMB mln</t>
  </si>
  <si>
    <t>OTA/software-change intensity used in dataset</t>
  </si>
  <si>
    <t>Patent databases export</t>
  </si>
  <si>
    <t>patent folder</t>
  </si>
  <si>
    <t>“Although I still do not dare to fully let FSD drive by itself” (“虽然我还是不敢完全放手让FSD自己开”); “Enhanced automatic parking is indeed reliable; even a parking space with 2.3 m between basement pillars is no problem” (“但增强版自动泊车确实靠谱，地库立柱间距2.3米的车位也完全没问题”); “Supercharger network coverage…” (“超充网络覆盖率…”); “Enhanced automatic parking is indeed reliable; even a parking space with 2.3 m between basement pillars is no problem” (“增强版自动泊车确实靠谱，地库立柱间距2.3米的车位也完全没问题”)</t>
  </si>
  <si>
    <t>“Do not set expectations too high” (“不要期望值太高了”); “No matter how advanced autonomous driving is, it still cannot leave the human” (“再高级的自动驾驶也不能离开人”); “Intelligent driving is divided only into Huawei and other rubbish” (“智驾只分华为和其他垃圾”); “Tesla needs to ensure compatibility and stability in the Chinese market” (“特斯拉需要确保新版本在中国市场的兼容性和稳定性”)</t>
  </si>
  <si>
    <t>“The overseas version has automatic shifting, but the domestic version is not equipped with it yet” (“国外版本有自动换挡功能，国内版本暂未配备”); “After driving with screen shifting for more than 1,000 km, I have adapted, but I still prefer a physical gear lever” (“屏幕换挡开了1000多公里后已适应，但仍更喜欢物理换挡杆”); “The brake pedal feel is simulated by the computer… the current simulation effect is average, but it can be optimized later through OTA” (“刹车踏板脚感由电脑通过弹簧、阻尼片模拟…目前模拟效果一般，但后续可通过OTA优化”); “The car-machine chip is still AMD; although it has not been updated for many years, it runs smoothly” (“车机芯片：依旧是AMD芯片，虽多年未更新，但运行流畅”); “When the turn signal is activated, the central screen automatically enlarges the corresponding side image, making lane changing convenient” (“打开后打转向灯，中控屏会自动放大对应侧画面，方便变道”)</t>
  </si>
  <si>
    <t>“Xiaomi is rapidly rising with the posture of ‘king of cost performance’” (“小米则以‘性价比之王’的姿态快速崛起”); Xiaomi’s intelligent driving is free; lidar + Orin chip combination is stronger in complex-scenario recognition” (“小米：智驾免费，激光雷达+Orin芯片组合在复杂场景识别更强”); “FSD is paid, and domestic functions are limited” (“FSD（收费3.2万，国内功能受限）”); “Tesla’s FSD technology is globally leading, but domestic functions are limited and require a high-price purchase” (“特斯拉：FSD技术全球领先……但国内功能受限且需高价购买”); “Choose Tesla if you pursue brand aura, long range, mature autonomous driving, and can accept a higher premium” (“选特斯拉：追求品牌光环、长续航、成熟自动驾驶，且能接受较高溢价”)</t>
  </si>
  <si>
    <t>“If I had not been driving attentively, there might have been a serious accident” (“如果不是我专心开车，可能就会有严重事故”); “Using AP on the highway, I was driving normally, with both hands on the steering wheel and concentrating” (“高速上使用AP正常行驶时，双手正常握方向盘，聚精会神开车”); “AP suddenly exited… after locking the car for a few minutes and restarting, it returned to normal” (“AP直接退出……锁车几分钟重启车子又正常了”); “Never overly trust the system, and do not mythologize how powerful Tesla FSD is” (“千万不要过度信赖系统，也不要迷信、魔化特斯拉FSD多牛逼”); “Computers crash and have bugs; Tesla is the same” (“电脑都有死机，出bug的时候，特斯拉也一样”)</t>
  </si>
  <si>
    <t xml:space="preserve">“Chinese roads’ complexity is far beyond what a few videos can cover” (“中国道路的复杂性远非几段录像所能涵盖”); “FSD mistakenly identified a non-motorized lane as a side road, forcing the driver to take over” (“FSD误将非机动车道识别为辅路，导致驾驶员被迫接管”); “Problems occurred frequently, such as mistakenly entering bus lanes, being overly ‘polite’ at intersections, and confused automatic gear-shifting logic in parking lots” (“误入公交车道、路口过度‘礼貌’导致通行效率低下、停车场自动挂挡逻辑混乱等问题频发”); “Huawei ADS 3.0 and XPeng map-free NOA have already achieved higher-level capabilities” (“华为ADS 3.0、小鹏无图NOA等本土方案已实现更高阶能力”);“No matter what form intelligent driving takes, at present driving is still human-centered” (“不论什么形式的智驾，目前还是以人为主的驾驶”)  </t>
  </si>
  <si>
    <t>“The actual experience improvement is not as exaggerated as advertised, and some functions still need improvement” (“实际体验提升并没有宣传的那么夸张，部分功能还有待完善”); “Autonomous driving is still assisted driving; it cannot be fully relied on, and we must stay alert at all times” (“自动驾驶功能，现在还是辅助驾驶，不能完全依赖……得时刻保持警惕”); “The update brings some significant improvements, but this does not mean it is perfect” (“更新带来了一些显著的改进，但这并不代表它就完美无缺”); “XPeng’s XPILOT performs relatively well on urban roads; NIO’s NOP is relatively stable on highways” (“小鹏的XPILOT在城市道路上的表现相对出色……蔚来的NOP则在高速路况下比较稳定”); “Autonomous-driving technology still needs time to develop” (“自动驾驶技术的发展，还需要时间”)</t>
  </si>
  <si>
    <t>T-AU-053</t>
  </si>
  <si>
    <t>T-AU-054</t>
  </si>
  <si>
    <t>T-AU-055</t>
  </si>
  <si>
    <t>T-AU-056</t>
  </si>
  <si>
    <t>B-AP-057</t>
  </si>
  <si>
    <t>B-AP-058</t>
  </si>
  <si>
    <t>B-AP-059</t>
  </si>
  <si>
    <t>B-AP-060</t>
  </si>
  <si>
    <t>B-AP-061</t>
  </si>
  <si>
    <t>B-AP-062</t>
  </si>
  <si>
    <t>B-AP-063</t>
  </si>
  <si>
    <t>B-AP-064</t>
  </si>
  <si>
    <t>B-AP-065</t>
  </si>
  <si>
    <t>B-AP-066</t>
  </si>
  <si>
    <t>B-AP-067</t>
  </si>
  <si>
    <t>B-AP-068</t>
  </si>
  <si>
    <t>B-AP-069</t>
  </si>
  <si>
    <t>B-AP-070</t>
  </si>
  <si>
    <t>B-AP-071</t>
  </si>
  <si>
    <t>B-AP-072</t>
  </si>
  <si>
    <t>B-AP-073</t>
  </si>
  <si>
    <t>B-AP-074</t>
  </si>
  <si>
    <t>B-AP-075</t>
  </si>
  <si>
    <t>B-AP-076</t>
  </si>
  <si>
    <t>B-PL-093</t>
  </si>
  <si>
    <t>B-PL-094</t>
  </si>
  <si>
    <t>B-PL-095</t>
  </si>
  <si>
    <t>B-PL-096</t>
  </si>
  <si>
    <t>B-PL-097</t>
  </si>
  <si>
    <t>B-PL-098</t>
  </si>
  <si>
    <t>B-PL-099</t>
  </si>
  <si>
    <t>B-PL-100</t>
  </si>
  <si>
    <t>B-PL-101</t>
  </si>
  <si>
    <t>B-PL-102</t>
  </si>
  <si>
    <t>B-PL-103</t>
  </si>
  <si>
    <t>B-PL-104</t>
  </si>
  <si>
    <t>B-PL-105</t>
  </si>
  <si>
    <t>B-PL-106</t>
  </si>
  <si>
    <t>B-PL-107</t>
  </si>
  <si>
    <t>B-PL-108</t>
  </si>
  <si>
    <t>B-PL-109</t>
  </si>
  <si>
    <t>B-PL-110</t>
  </si>
  <si>
    <t>B-PL-111</t>
  </si>
  <si>
    <t>B-PL-112</t>
  </si>
  <si>
    <t>B-GO-143</t>
  </si>
  <si>
    <t>B-GO-144</t>
  </si>
  <si>
    <t>B-GO-145</t>
  </si>
  <si>
    <t>B-GO-146</t>
  </si>
  <si>
    <t>B-GO-147</t>
  </si>
  <si>
    <t>B-GO-148</t>
  </si>
  <si>
    <t>B-GO-149</t>
  </si>
  <si>
    <t>B-GO-150</t>
  </si>
  <si>
    <t>B-GO-151</t>
  </si>
  <si>
    <t>B-GO-152</t>
  </si>
  <si>
    <t>“DAB+ keeps freezing or turns off” (“ständig hängt sich das DAB+ auf bzw. geht aus”); “The app simply crashes after a few seconds” (“Die App stürzt nach wenigen Sekunden einfach ab”); “The first vehicle only had the problem after the update… after that, DAB+ was no longer really usable continuously” (“Das erste Fahrzeug hatte das Problem erst nach dem Update… Danach war nicht wirklich mehr DAB+ durchgehend nutzbar”); “Localization involves more than just translating the infotainment” (“Zur Lokalisierung gehört halt mehr, als nur das Infotainment zu übersetzen”); “We manually installed the update to have a German GUI” (“Das Update haben wir auch da manuell installiert, um eine deutsche GUI zu haben”)</t>
  </si>
  <si>
    <t>system functionality limitation 
interface integration problem</t>
  </si>
  <si>
    <t>“The EU version partly matched the China version, then again 3.90 m was stated” (“die Länge der EU Version teilweise mit der China Version überein gestimmt hat… Dann wieder wurden 3,90m angegeben”); “The stupid blink-blink, beep-beep nonsense” (“der blödsinnige blink,blink, piep,piep Quatsch”); “360-degree camera” (“360 Grad Kamera”)</t>
  </si>
  <si>
    <t>“I rate the software status as really bad” (“Richtig schlecht bewerte ich … den Softwarestand”); “Lane-keeping assistant without function” (“Spurhalteassistent ohne Funktion”); “Often pointless warnings in the display” (“Oft sinnlose Warnungen im Display”); “Speed recognition unreliable and much worse than in the i3” (“Geschwindigkeitserkennung unzuverlässig und wesentlich schlechter als im i3”); “A bug that came with one of the last updates” (“ein Bug der mit einem der letzten Updates kam”)</t>
  </si>
  <si>
    <t>“Very limited function of the head-up display” (“die äußerst begrenzte Funktion des Headup Displays”); “For example, the navigation system cannot be displayed/integrated” (“zum Beispiel kann man das Navigationssystem nicht einspielen”); “In borderline situations, the assistance systems seem to be overwhelmed” (“in Grenzsituationen die Assistenzsysteme überfordert”)</t>
  </si>
  <si>
    <t>“After an OTA update, the infotainment no longer starts” (“Nach einem OTA Update startet das Infotainment nicht mehr”); “The central display keeps restarting” (“das Zentraldisplay startet immer neu”); “It restarts, but the error remains” (“Es startet zwar neu, aber der Fehler bleibt bestehen”); “Then two updates were installed — no success” (“Dann 2 Updates aufgespielt, kein Erfolg”); “Cannot set anything, no heating, no navigation, nothing at all” (“Kann auch rein gar nichts einstellen, keine Heizung, kein Navi, rein gar nichts”)</t>
  </si>
  <si>
    <t>“The software in its current state cannot keep up with the Model 3 or German cars” (“Einzig die Software kann in aktuellem Zustand weder mit dem Model 3 noch mit den deutschen Autos mithalten”); “The software is definitely still expandable” (“Die Software ist in jedem Fall noch ausbaufähig”); “No charger route planning” (“keine Laderoutenplanung”); “No SOC information at the destination” (“keine SOC-Angaben am Ziel”); “Some translation errors” (“einige Übersetzungsfehler”); “First attempts to work with the Chinese SDK lead to immediate crashes” (“erste paar Versuche vs chinesische SDK zu arbeiten führt zu sofortige Abstürze”)</t>
  </si>
  <si>
    <t>“Unfortunately, completely unusable lane-keeping assistant” (“leider völlig unbrauchbaren Spurhalteassistent”); “I could less easily overlook this in practice” (“darüber könnte ich in der Praxis weniger hinwegsehen”); “I would switch off the lane-keeping assistant” (“Den Spurhalteassistenten würde ich abschalten”); “The Leaf can do that relatively well” (“Der Leaf kann das relativ gut”)</t>
  </si>
  <si>
    <t>“Is your Atto already capable of German language in speech and writing?” (“Ist euer Atto schon der deutschen Sprache in Wort und Schrift mächtig?”); “It is English” (“Ist Englisch”); “It constantly forgets certain settings” (“er ständig gewisse Einstellungen vergisst”); “They still need to work on the software” (“an der Software … müssen sie noch arbeiten”); “Menus and navigation finally also in German” (“Menüs und Navigation jetzt endlich auch in Deutsch!”)</t>
  </si>
  <si>
    <t>“I would not be happy with BYD software” (“Ich würde damit nicht glücklich werden”); “The infotainment system in the XPeng is much more mature” (“das Infotainment System im Xpeng ist für mich wesentlich erwachsener”); “Less bing-bonging, less disturbing” (“weniger bingeln und bongeln, weniger störend”); “Not overloaded with information, not so quickly built-in” (“wirkt nicht überladen mit Info, nicht so ‘schnell reingebaut’”)</t>
  </si>
  <si>
    <t>“If it initiates pointless strong braking in completely harmless situations, then it is not good” (“wenn er aber immer und in vollkommen ungefährlichen Situationen eine sinnlose starke Bremsung einleitet dann ist es nicht gut”); “In such cases, the assistant is then usually switched off by drivers” (“In solchen Fällen wird der Assistent dann meistens von den Fahrern abgeschaltet”)</t>
  </si>
  <si>
    <t>Wants light mode, dark mode hard to see in sunlight</t>
  </si>
  <si>
    <t>Domestic version lacks overseas functions, screen shifting needs adaptation, brake feel average, OTA may improve, car system smooth</t>
  </si>
  <si>
    <t>FSD locally limited, high price, Xiaomi intelligent driving stronger in complex scenarios, Tesla still mature but expensive</t>
  </si>
  <si>
    <t>AP exits unexpectedly, driver must stay attentive, system bugs possible, do not overtrust FSD</t>
  </si>
  <si>
    <t>Chinese road conditions complex, wrong lane recognition, driver takeover needed, confused system behavior, Huawei and XPeng stronger locally</t>
  </si>
  <si>
    <t>FSD not fully trusted, automatic parking reliable, works in narrow basement parking spaces</t>
  </si>
  <si>
    <t>Improvement less dramatic than advertised, assisted driving still needs alertness, update not perfect, XPeng and NIO strong in some scenarios</t>
  </si>
  <si>
    <t>China rollout expectations limited, autonomous driving still needs human control, Huawei viewed as stronger, stability in China still needed</t>
  </si>
  <si>
    <t>Pointless emergency braking, assistant often switched off, system not good in harmless situations</t>
  </si>
  <si>
    <t>HUD functions very limited, navigation not integrated, assist systems overwhelmed in borderline situations</t>
  </si>
  <si>
    <t>EU version differs from China version, too much beeping, 360-degree camera mentioned</t>
  </si>
  <si>
    <t>Software cannot keep up with competitors, no charger route planning, no SOC at destination, translation errors, SDK crashes</t>
  </si>
  <si>
    <t>Software status very bad, lane assist without function, pointless warnings, speed recognition unreliable, update bug</t>
  </si>
  <si>
    <t>Lane-keeping assistant unusable, user would switch it off, Leaf performs better</t>
  </si>
  <si>
    <t>BYD software viewed negatively, XPeng infotainment more mature, less disturbing alerts, system feels more integrated</t>
  </si>
  <si>
    <t>DAB+ freezes or turns off, app crashes, update worsened DAB+, localization more than translation, German GUI needed</t>
  </si>
  <si>
    <t>No German language initially, settings forgotten, software still needs work, German menus added later</t>
  </si>
  <si>
    <t>OTA update breaks infotainment, central display restarts, updates do not fix issue, settings and navigation unusable</t>
  </si>
  <si>
    <t>Slow iteration, bad voice</t>
  </si>
  <si>
    <t>control passenger seat, improve navigation clarity, lights too sensitive, etc.</t>
  </si>
  <si>
    <t>Wants privacy protection</t>
  </si>
  <si>
    <t>Infrastructure</t>
  </si>
  <si>
    <t>“Don't trust autopilot”, “Feels unsafe”</t>
  </si>
  <si>
    <t>“Not suitable for local traffic”, “Doesn't support local language well”</t>
  </si>
  <si>
    <t>“Can't connect”, “App doesn't work”</t>
  </si>
  <si>
    <t>Source: review folders</t>
  </si>
  <si>
    <t>Compliance certifications</t>
  </si>
  <si>
    <t>Reports are in the Market Success Data folder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</si>
</sst>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7" x14ac:knownFonts="1">
    <font>
      <sz val="11"/>
      <color theme="1"/>
      <name val="Aptos Narrow"/>
      <family val="2"/>
      <charset val="204"/>
      <scheme val="minor"/>
    </font>
    <font>
      <b/>
      <sz val="11"/>
      <color theme="1"/>
      <name val="Aptos Narrow"/>
      <family val="2"/>
      <charset val="204"/>
      <scheme val="minor"/>
    </font>
    <font>
      <b/>
      <sz val="11"/>
      <color theme="1"/>
      <name val="Aptos Narrow"/>
      <family val="2"/>
      <scheme val="minor"/>
    </font>
    <font>
      <i/>
      <sz val="11"/>
      <color theme="1"/>
      <name val="Aptos Narrow"/>
      <family val="2"/>
      <scheme val="minor"/>
    </font>
    <font>
      <sz val="11"/>
      <color theme="1"/>
      <name val="Aptos Narrow"/>
      <family val="2"/>
      <scheme val="minor"/>
    </font>
    <font>
      <u/>
      <sz val="11"/>
      <color theme="10"/>
      <name val="Aptos Narrow"/>
      <family val="2"/>
      <charset val="204"/>
      <scheme val="minor"/>
    </font>
    <font>
      <sz val="8"/>
      <color rgb="FF1A1C1F"/>
      <name val="Segoe UI"/>
      <family val="2"/>
      <charset val="204"/>
    </font>
    <font>
      <sz val="11"/>
      <color theme="4" tint="-0.249977111117893"/>
      <name val="Aptos Narrow"/>
      <family val="2"/>
      <charset val="204"/>
      <scheme val="minor"/>
    </font>
    <font>
      <b/>
      <sz val="11"/>
      <color theme="4" tint="-0.249977111117893"/>
      <name val="Aptos Narrow"/>
      <family val="2"/>
      <charset val="204"/>
      <scheme val="minor"/>
    </font>
    <font>
      <sz val="8"/>
      <name val="Aptos Narrow"/>
      <family val="2"/>
      <charset val="204"/>
      <scheme val="minor"/>
    </font>
    <font>
      <sz val="11"/>
      <color theme="1"/>
      <name val="Aptos Narrow"/>
      <family val="2"/>
      <charset val="204"/>
      <scheme val="minor"/>
    </font>
    <font>
      <b/>
      <sz val="9"/>
      <color indexed="81"/>
      <name val="Tahoma"/>
      <family val="2"/>
      <charset val="204"/>
    </font>
    <font>
      <sz val="9"/>
      <color indexed="81"/>
      <name val="Tahoma"/>
      <family val="2"/>
      <charset val="204"/>
    </font>
    <font>
      <b/>
      <i/>
      <sz val="11"/>
      <color theme="1"/>
      <name val="Aptos Narrow"/>
      <family val="2"/>
      <scheme val="minor"/>
    </font>
    <font>
      <i/>
      <sz val="11"/>
      <color theme="0" tint="-0.14999847407452621"/>
      <name val="Aptos Narrow"/>
      <family val="2"/>
      <scheme val="minor"/>
    </font>
    <font>
      <sz val="11"/>
      <color theme="0" tint="-0.14999847407452621"/>
      <name val="Aptos Narrow"/>
      <family val="2"/>
      <scheme val="minor"/>
    </font>
    <font>
      <u/>
      <sz val="11"/>
      <color theme="1"/>
      <name val="Aptos Narrow"/>
      <family val="2"/>
      <charset val="204"/>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2" tint="-9.9978637043366805E-2"/>
        <bgColor indexed="64"/>
      </patternFill>
    </fill>
  </fills>
  <borders count="10">
    <border>
      <left/>
      <right/>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theme="4"/>
      </bottom>
      <diagonal/>
    </border>
  </borders>
  <cellStyleXfs count="3">
    <xf numFmtId="0" fontId="0" fillId="0" borderId="0"/>
    <xf numFmtId="0" fontId="5" fillId="0" borderId="0"/>
    <xf numFmtId="9" fontId="10" fillId="0" borderId="0" applyFont="0" applyFill="0" applyBorder="0" applyAlignment="0" applyProtection="0"/>
  </cellStyleXfs>
  <cellXfs count="75">
    <xf numFmtId="0" fontId="0" fillId="0" borderId="0" xfId="0"/>
    <xf numFmtId="0" fontId="0" fillId="0" borderId="2" xfId="0" applyBorder="1"/>
    <xf numFmtId="0" fontId="0" fillId="0" borderId="1" xfId="0" applyBorder="1"/>
    <xf numFmtId="0" fontId="0" fillId="0" borderId="0" xfId="0" applyAlignment="1">
      <alignment vertical="center" wrapText="1"/>
    </xf>
    <xf numFmtId="0" fontId="0" fillId="0" borderId="0" xfId="0" applyAlignment="1">
      <alignment vertical="center"/>
    </xf>
    <xf numFmtId="0" fontId="2" fillId="0" borderId="0" xfId="0" applyFont="1"/>
    <xf numFmtId="0" fontId="0" fillId="0" borderId="0" xfId="0" applyAlignment="1">
      <alignment horizontal="left" vertical="top"/>
    </xf>
    <xf numFmtId="0" fontId="2" fillId="0" borderId="0" xfId="0" applyFont="1" applyAlignment="1">
      <alignment wrapText="1"/>
    </xf>
    <xf numFmtId="0" fontId="0" fillId="0" borderId="0" xfId="0" applyAlignment="1">
      <alignment wrapText="1"/>
    </xf>
    <xf numFmtId="0" fontId="2" fillId="0" borderId="2" xfId="0" applyFont="1" applyBorder="1"/>
    <xf numFmtId="0" fontId="5" fillId="0" borderId="0" xfId="1" applyAlignment="1">
      <alignment wrapText="1"/>
    </xf>
    <xf numFmtId="0" fontId="0" fillId="0" borderId="0" xfId="0" applyAlignment="1">
      <alignment horizontal="center"/>
    </xf>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6" xfId="0" applyBorder="1"/>
    <xf numFmtId="0" fontId="0" fillId="0" borderId="8" xfId="0" applyBorder="1"/>
    <xf numFmtId="0" fontId="0" fillId="2" borderId="0" xfId="0" applyFill="1"/>
    <xf numFmtId="0" fontId="3" fillId="0" borderId="0" xfId="0" applyFont="1"/>
    <xf numFmtId="0" fontId="7" fillId="3" borderId="0" xfId="0" applyFont="1" applyFill="1"/>
    <xf numFmtId="0" fontId="7" fillId="0" borderId="0" xfId="0" applyFont="1"/>
    <xf numFmtId="0" fontId="7" fillId="0" borderId="9" xfId="0" applyFont="1" applyBorder="1"/>
    <xf numFmtId="0" fontId="8" fillId="0" borderId="9" xfId="0" applyFont="1" applyBorder="1"/>
    <xf numFmtId="0" fontId="8" fillId="0" borderId="9" xfId="0" applyFont="1" applyBorder="1" applyAlignment="1">
      <alignment wrapText="1"/>
    </xf>
    <xf numFmtId="0" fontId="7" fillId="3" borderId="0" xfId="0" applyFont="1" applyFill="1" applyAlignment="1">
      <alignment horizontal="center"/>
    </xf>
    <xf numFmtId="164" fontId="0" fillId="0" borderId="0" xfId="0" applyNumberFormat="1"/>
    <xf numFmtId="2" fontId="0" fillId="0" borderId="0" xfId="0" applyNumberFormat="1"/>
    <xf numFmtId="0" fontId="4" fillId="0" borderId="7" xfId="0" applyFont="1" applyBorder="1"/>
    <xf numFmtId="49" fontId="2" fillId="0" borderId="0" xfId="0" applyNumberFormat="1" applyFont="1" applyAlignment="1">
      <alignment horizontal="right"/>
    </xf>
    <xf numFmtId="0" fontId="4" fillId="0" borderId="0" xfId="0" applyFont="1"/>
    <xf numFmtId="0" fontId="4" fillId="0" borderId="6" xfId="0" applyFont="1" applyBorder="1"/>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4" fillId="0" borderId="0" xfId="0" applyFont="1" applyAlignment="1">
      <alignment vertical="center" wrapText="1"/>
    </xf>
    <xf numFmtId="10" fontId="2" fillId="2" borderId="0" xfId="2" applyNumberFormat="1" applyFont="1" applyFill="1"/>
    <xf numFmtId="0" fontId="2" fillId="2" borderId="0" xfId="0" applyFont="1" applyFill="1"/>
    <xf numFmtId="2" fontId="0" fillId="2" borderId="0" xfId="2" applyNumberFormat="1" applyFont="1" applyFill="1"/>
    <xf numFmtId="0" fontId="4" fillId="2" borderId="0" xfId="0" applyFont="1" applyFill="1"/>
    <xf numFmtId="2" fontId="2" fillId="2" borderId="0" xfId="2" applyNumberFormat="1" applyFont="1" applyFill="1"/>
    <xf numFmtId="0" fontId="2" fillId="0" borderId="1" xfId="0" applyFont="1" applyBorder="1"/>
    <xf numFmtId="0" fontId="2" fillId="2" borderId="1" xfId="0" applyFont="1" applyFill="1" applyBorder="1"/>
    <xf numFmtId="0" fontId="0" fillId="2" borderId="2" xfId="0" applyFill="1" applyBorder="1"/>
    <xf numFmtId="0" fontId="0" fillId="2" borderId="1" xfId="0" applyFill="1" applyBorder="1"/>
    <xf numFmtId="0" fontId="2" fillId="0" borderId="5" xfId="0" applyFont="1" applyBorder="1"/>
    <xf numFmtId="0" fontId="0" fillId="0" borderId="3" xfId="0" applyBorder="1"/>
    <xf numFmtId="0" fontId="0" fillId="0" borderId="4" xfId="0" applyBorder="1"/>
    <xf numFmtId="0" fontId="0" fillId="0" borderId="5" xfId="0" applyBorder="1"/>
    <xf numFmtId="165" fontId="0" fillId="0" borderId="3" xfId="0" applyNumberFormat="1" applyBorder="1"/>
    <xf numFmtId="0" fontId="13" fillId="0" borderId="1" xfId="0" applyFont="1" applyBorder="1"/>
    <xf numFmtId="0" fontId="13" fillId="0" borderId="0" xfId="0" applyFont="1"/>
    <xf numFmtId="1" fontId="0" fillId="0" borderId="0" xfId="0" applyNumberFormat="1"/>
    <xf numFmtId="0" fontId="14" fillId="0" borderId="0" xfId="0" applyFont="1"/>
    <xf numFmtId="0" fontId="15" fillId="0" borderId="0" xfId="0" applyFont="1"/>
    <xf numFmtId="14" fontId="0" fillId="0" borderId="0" xfId="0" applyNumberFormat="1"/>
    <xf numFmtId="0" fontId="5" fillId="0" borderId="0" xfId="1"/>
    <xf numFmtId="0" fontId="2" fillId="0" borderId="0" xfId="0" applyFont="1" applyAlignment="1">
      <alignment vertical="center"/>
    </xf>
    <xf numFmtId="0" fontId="2" fillId="0" borderId="0" xfId="0" applyFont="1" applyAlignment="1">
      <alignment horizontal="center"/>
    </xf>
    <xf numFmtId="0" fontId="0" fillId="0" borderId="0" xfId="0"/>
    <xf numFmtId="0" fontId="0" fillId="0" borderId="0" xfId="0" applyAlignment="1">
      <alignment horizontal="center" wrapText="1"/>
    </xf>
    <xf numFmtId="0" fontId="0" fillId="0" borderId="0" xfId="0" applyAlignment="1">
      <alignment horizontal="center" vertical="top" wrapText="1"/>
    </xf>
    <xf numFmtId="0" fontId="0" fillId="0" borderId="0" xfId="0" applyAlignment="1">
      <alignment horizontal="center"/>
    </xf>
    <xf numFmtId="0" fontId="0" fillId="0" borderId="0" xfId="0" applyAlignment="1">
      <alignment horizontal="center" vertical="center"/>
    </xf>
    <xf numFmtId="0" fontId="5" fillId="0" borderId="0" xfId="1" applyAlignment="1">
      <alignment horizontal="center"/>
    </xf>
    <xf numFmtId="0" fontId="6" fillId="0" borderId="0" xfId="0" applyFont="1" applyAlignment="1">
      <alignment horizontal="center" vertical="center" wrapText="1"/>
    </xf>
    <xf numFmtId="0" fontId="2" fillId="0" borderId="2" xfId="0" applyFont="1" applyBorder="1" applyAlignment="1">
      <alignment horizontal="center"/>
    </xf>
    <xf numFmtId="0" fontId="2" fillId="0" borderId="1" xfId="0" applyFont="1" applyBorder="1" applyAlignment="1">
      <alignment horizontal="center"/>
    </xf>
    <xf numFmtId="0" fontId="0" fillId="0" borderId="0" xfId="0" applyFill="1"/>
    <xf numFmtId="0" fontId="16" fillId="0" borderId="0" xfId="0" applyFont="1" applyFill="1"/>
    <xf numFmtId="0" fontId="16" fillId="0" borderId="0" xfId="0" applyFont="1"/>
    <xf numFmtId="0" fontId="1" fillId="2" borderId="0" xfId="0" applyFont="1" applyFill="1" applyAlignment="1">
      <alignment horizontal="center" vertical="center"/>
    </xf>
    <xf numFmtId="0" fontId="0" fillId="4" borderId="0" xfId="0" applyFill="1" applyAlignment="1">
      <alignment vertical="center"/>
    </xf>
    <xf numFmtId="0" fontId="16" fillId="0" borderId="0" xfId="0" applyFont="1" applyAlignment="1">
      <alignment wrapText="1"/>
    </xf>
    <xf numFmtId="0" fontId="3" fillId="0" borderId="0" xfId="0" applyFont="1" applyAlignment="1">
      <alignment wrapText="1"/>
    </xf>
    <xf numFmtId="0" fontId="3" fillId="0" borderId="0" xfId="0" applyFont="1" applyAlignment="1">
      <alignment horizontal="center" wrapText="1"/>
    </xf>
    <xf numFmtId="0" fontId="2" fillId="0" borderId="0" xfId="0" applyFont="1" applyAlignment="1">
      <alignment horizontal="center" vertical="center" wrapText="1"/>
    </xf>
  </cellXfs>
  <cellStyles count="3">
    <cellStyle name="Hyperlink" xfId="1" builtinId="8"/>
    <cellStyle name="Normal" xfId="0" builtinId="0"/>
    <cellStyle name="Percent" xfId="2" builtinId="5"/>
  </cellStyles>
  <dxfs count="55">
    <dxf>
      <font>
        <b val="0"/>
        <i val="0"/>
        <strike val="0"/>
        <condense val="0"/>
        <extend val="0"/>
        <outline val="0"/>
        <shadow val="0"/>
        <u val="none"/>
        <vertAlign val="baseline"/>
        <sz val="11"/>
        <color theme="4" tint="-0.249977111117893"/>
        <name val="Aptos Narrow"/>
        <family val="2"/>
        <charset val="204"/>
        <scheme val="minor"/>
      </font>
    </dxf>
    <dxf>
      <font>
        <b val="0"/>
        <i val="0"/>
        <strike val="0"/>
        <condense val="0"/>
        <extend val="0"/>
        <outline val="0"/>
        <shadow val="0"/>
        <u val="none"/>
        <vertAlign val="baseline"/>
        <sz val="11"/>
        <color theme="4" tint="-0.249977111117893"/>
        <name val="Aptos Narrow"/>
        <family val="2"/>
        <charset val="204"/>
        <scheme val="minor"/>
      </font>
    </dxf>
    <dxf>
      <font>
        <b val="0"/>
        <i val="0"/>
        <strike val="0"/>
        <condense val="0"/>
        <extend val="0"/>
        <outline val="0"/>
        <shadow val="0"/>
        <u val="none"/>
        <vertAlign val="baseline"/>
        <sz val="11"/>
        <color theme="4" tint="-0.249977111117893"/>
        <name val="Aptos Narrow"/>
        <family val="2"/>
        <charset val="204"/>
        <scheme val="minor"/>
      </font>
    </dxf>
    <dxf>
      <font>
        <b/>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4" tint="-0.249977111117893"/>
        <name val="Aptos Narrow"/>
        <family val="2"/>
        <charset val="204"/>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charset val="204"/>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charset val="204"/>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charset val="204"/>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charset val="204"/>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charset val="204"/>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charset val="204"/>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charset val="204"/>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charset val="204"/>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charset val="204"/>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charset val="204"/>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charset val="204"/>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charset val="204"/>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charset val="204"/>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charset val="204"/>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charset val="204"/>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charset val="204"/>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charset val="204"/>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charset val="204"/>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charset val="204"/>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charset val="204"/>
        <scheme val="minor"/>
      </font>
      <fill>
        <patternFill patternType="solid">
          <fgColor theme="4" tint="0.79998168889431442"/>
          <bgColor theme="4" tint="0.79998168889431442"/>
        </patternFill>
      </fill>
    </dxf>
    <dxf>
      <border outline="0">
        <top style="thin">
          <color theme="4"/>
        </top>
        <bottom style="thin">
          <color theme="4"/>
        </bottom>
      </border>
    </dxf>
    <dxf>
      <font>
        <b val="0"/>
        <i val="0"/>
        <strike val="0"/>
        <condense val="0"/>
        <extend val="0"/>
        <outline val="0"/>
        <shadow val="0"/>
        <u val="none"/>
        <vertAlign val="baseline"/>
        <sz val="11"/>
        <color theme="4" tint="-0.249977111117893"/>
        <name val="Aptos Narrow"/>
        <family val="2"/>
        <charset val="204"/>
        <scheme val="minor"/>
      </font>
      <fill>
        <patternFill patternType="solid">
          <fgColor theme="4" tint="0.79998168889431442"/>
          <bgColor theme="4" tint="0.79998168889431442"/>
        </patternFill>
      </fill>
    </dxf>
    <dxf>
      <border outline="0">
        <bottom style="thin">
          <color theme="4"/>
        </bottom>
      </border>
    </dxf>
    <dxf>
      <font>
        <b/>
        <i val="0"/>
        <strike val="0"/>
        <condense val="0"/>
        <extend val="0"/>
        <outline val="0"/>
        <shadow val="0"/>
        <u val="none"/>
        <vertAlign val="baseline"/>
        <sz val="11"/>
        <color theme="4" tint="-0.249977111117893"/>
        <name val="Aptos Narrow"/>
        <family val="2"/>
        <charset val="204"/>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dd/mm/yyyy"/>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dd/mm/yyyy"/>
    </dxf>
    <dxf>
      <alignment horizontal="general" vertical="bottom" textRotation="0" wrapText="1" indent="0" justifyLastLine="0" shrinkToFit="0" readingOrder="0"/>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2A75F84-A036-44BE-B183-FE6BE049CCDD}" name="Table14" displayName="Table14" ref="A1:F14" totalsRowShown="0" headerRowDxfId="54">
  <autoFilter ref="A1:F14" xr:uid="{B2A75F84-A036-44BE-B183-FE6BE049CCDD}"/>
  <tableColumns count="6">
    <tableColumn id="1" xr3:uid="{D282C4B8-E3CB-4491-95BB-C0877656532C}" name="Firm"/>
    <tableColumn id="2" xr3:uid="{FC437F1A-50BE-46CD-B923-46E02D0F9ABC}" name="Quarter"/>
    <tableColumn id="3" xr3:uid="{E3D459A8-BC2A-420A-A5CC-989F48C15A4A}" name="Ratings volume"/>
    <tableColumn id="4" xr3:uid="{233ECD9C-4F6D-46D2-9ABB-8986D3CB12F2}" name="Rating velocity"/>
    <tableColumn id="5" xr3:uid="{BA09EFC6-3206-4559-914B-9347BC681659}" name="Positive share"/>
    <tableColumn id="6" xr3:uid="{407FA6E3-07AF-4F00-83BC-DE4858052332}" name="Average rating"/>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E4408AB-86FF-4B3D-9AC2-4D55C1569708}" name="Table8" displayName="Table8" ref="A2:F14" totalsRowShown="0" dataDxfId="53">
  <autoFilter ref="A2:F14" xr:uid="{2E4408AB-86FF-4B3D-9AC2-4D55C1569708}"/>
  <tableColumns count="6">
    <tableColumn id="1" xr3:uid="{B0EB2BDA-E7B7-48E6-9466-72C737CB155B}" name="Quarter"/>
    <tableColumn id="2" xr3:uid="{516D4AF7-BDAE-4976-A931-BB075D041FC2}" name="Tesla sales" dataDxfId="52"/>
    <tableColumn id="3" xr3:uid="{FFA04379-B359-4DE6-A9AA-BA9828C2BD78}" name="NEV retail total"/>
    <tableColumn id="4" xr3:uid="{5507CFF6-2E66-4362-9543-D137BF0DBAD7}" name="EV market share" dataDxfId="51"/>
    <tableColumn id="5" xr3:uid="{487B61B3-CB98-4BBC-9D71-B64D3978A579}" name="Rank" dataDxfId="50"/>
    <tableColumn id="6" xr3:uid="{F50BB18D-6CDD-434E-9DE3-DFF6F2B0D275}" name="Brand ranking score" dataDxfId="49"/>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4" displayName="Table4" ref="A1:F7" totalsRowShown="0">
  <autoFilter ref="A1:F7" xr:uid="{00000000-0009-0000-0100-000002000000}"/>
  <tableColumns count="6">
    <tableColumn id="1" xr3:uid="{00000000-0010-0000-0100-000001000000}" name="Company"/>
    <tableColumn id="2" xr3:uid="{00000000-0010-0000-0100-000002000000}" name="Quarter"/>
    <tableColumn id="3" xr3:uid="{00000000-0010-0000-0100-000003000000}" name="Observed AI features" dataDxfId="48"/>
    <tableColumn id="4" xr3:uid="{00000000-0010-0000-0100-000004000000}" name="Passive AI" dataDxfId="47"/>
    <tableColumn id="5" xr3:uid="{00000000-0010-0000-0100-000005000000}" name="Interactive AI"/>
    <tableColumn id="6" xr3:uid="{00000000-0010-0000-0100-000006000000}" name="Adaptive AI"/>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5" displayName="Table5" ref="A1:F7" totalsRowShown="0" headerRowDxfId="46" dataDxfId="45">
  <autoFilter ref="A1:F7" xr:uid="{00000000-0009-0000-0100-000003000000}"/>
  <tableColumns count="6">
    <tableColumn id="1" xr3:uid="{00000000-0010-0000-0200-000001000000}" name="Company" dataDxfId="44"/>
    <tableColumn id="2" xr3:uid="{00000000-0010-0000-0200-000002000000}" name="Year" dataDxfId="43"/>
    <tableColumn id="3" xr3:uid="{00000000-0010-0000-0200-000003000000}" name="OTA/software-change intensity used in dataset" dataDxfId="42"/>
    <tableColumn id="4" xr3:uid="{00000000-0010-0000-0200-000004000000}" name="Main observed update evidence" dataDxfId="41"/>
    <tableColumn id="5" xr3:uid="{00000000-0010-0000-0200-000005000000}" name="Descriptive classification" dataDxfId="40"/>
    <tableColumn id="6" xr3:uid="{00000000-0010-0000-0200-000006000000}" name="Source" dataDxfId="39"/>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7" displayName="Table7" ref="A8:H32" totalsRowShown="0">
  <autoFilter ref="A8:H32" xr:uid="{00000000-0009-0000-0100-000004000000}"/>
  <tableColumns count="8">
    <tableColumn id="1" xr3:uid="{00000000-0010-0000-0300-000001000000}" name="Company"/>
    <tableColumn id="2" xr3:uid="{00000000-0010-0000-0300-000002000000}" name="Period"/>
    <tableColumn id="3" xr3:uid="{00000000-0010-0000-0300-000003000000}" name="Score"/>
    <tableColumn id="4" xr3:uid="{00000000-0010-0000-0300-000004000000}" name="Remote control"/>
    <tableColumn id="5" xr3:uid="{00000000-0010-0000-0300-000005000000}" name="Smart recommendations"/>
    <tableColumn id="6" xr3:uid="{00000000-0010-0000-0300-000006000000}" name="Behavioral/status data"/>
    <tableColumn id="7" xr3:uid="{00000000-0010-0000-0300-000007000000}" name="Rationale" dataDxfId="38"/>
    <tableColumn id="8" xr3:uid="{00000000-0010-0000-0300-000008000000}" name="Source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1" displayName="Table1" ref="B1:X57" totalsRowShown="0">
  <autoFilter ref="B1:X57" xr:uid="{00000000-0009-0000-0100-000005000000}"/>
  <tableColumns count="23">
    <tableColumn id="1" xr3:uid="{00000000-0010-0000-0400-000001000000}" name="ID"/>
    <tableColumn id="2" xr3:uid="{00000000-0010-0000-0400-000002000000}" name="Company"/>
    <tableColumn id="3" xr3:uid="{00000000-0010-0000-0400-000003000000}" name="Market"/>
    <tableColumn id="4" xr3:uid="{00000000-0010-0000-0400-000004000000}" name="Platform" dataDxfId="37"/>
    <tableColumn id="5" xr3:uid="{00000000-0010-0000-0400-000005000000}" name="Date" dataDxfId="36"/>
    <tableColumn id="6" xr3:uid="{00000000-0010-0000-0400-000006000000}" name="Quarter"/>
    <tableColumn id="7" xr3:uid="{00000000-0010-0000-0400-000007000000}" name="Review Text (short)" dataDxfId="35"/>
    <tableColumn id="8" xr3:uid="{00000000-0010-0000-0400-000008000000}" name="USE+"/>
    <tableColumn id="9" xr3:uid="{00000000-0010-0000-0400-000009000000}" name="USE−"/>
    <tableColumn id="10" xr3:uid="{00000000-0010-0000-0400-00000A000000}" name="UX+"/>
    <tableColumn id="11" xr3:uid="{00000000-0010-0000-0400-00000B000000}" name="UX−"/>
    <tableColumn id="12" xr3:uid="{00000000-0010-0000-0400-00000C000000}" name="REL+"/>
    <tableColumn id="13" xr3:uid="{00000000-0010-0000-0400-00000D000000}" name="REL−"/>
    <tableColumn id="14" xr3:uid="{00000000-0010-0000-0400-00000E000000}" name="TRUST+"/>
    <tableColumn id="15" xr3:uid="{00000000-0010-0000-0400-00000F000000}" name="TRUST−"/>
    <tableColumn id="16" xr3:uid="{00000000-0010-0000-0400-000010000000}" name="LOC+"/>
    <tableColumn id="17" xr3:uid="{00000000-0010-0000-0400-000011000000}" name="LOC−"/>
    <tableColumn id="18" xr3:uid="{00000000-0010-0000-0400-000012000000}" name="DIGI+"/>
    <tableColumn id="19" xr3:uid="{00000000-0010-0000-0400-000013000000}" name="DIGI−"/>
    <tableColumn id="20" xr3:uid="{00000000-0010-0000-0400-000014000000}" name="ISSUE"/>
    <tableColumn id="21" xr3:uid="{00000000-0010-0000-0400-000015000000}" name="AI+"/>
    <tableColumn id="22" xr3:uid="{00000000-0010-0000-0400-000016000000}" name="AI−"/>
    <tableColumn id="23" xr3:uid="{00000000-0010-0000-0400-000017000000}" name="Notes"/>
  </tableColumns>
  <tableStyleInfo name="TableStyleLight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2" displayName="Table2" ref="B59:X155" totalsRowShown="0">
  <autoFilter ref="B59:X155" xr:uid="{00000000-0009-0000-0100-000006000000}"/>
  <tableColumns count="23">
    <tableColumn id="1" xr3:uid="{00000000-0010-0000-0500-000001000000}" name="ID"/>
    <tableColumn id="2" xr3:uid="{00000000-0010-0000-0500-000002000000}" name="Company"/>
    <tableColumn id="3" xr3:uid="{00000000-0010-0000-0500-000003000000}" name="Market"/>
    <tableColumn id="4" xr3:uid="{00000000-0010-0000-0500-000004000000}" name="Platform" dataDxfId="34"/>
    <tableColumn id="5" xr3:uid="{00000000-0010-0000-0500-000005000000}" name="Date" dataDxfId="33"/>
    <tableColumn id="6" xr3:uid="{00000000-0010-0000-0500-000006000000}" name="Quarter"/>
    <tableColumn id="7" xr3:uid="{00000000-0010-0000-0500-000007000000}" name="Review Text (short)" dataDxfId="32"/>
    <tableColumn id="8" xr3:uid="{00000000-0010-0000-0500-000008000000}" name="USE+"/>
    <tableColumn id="9" xr3:uid="{00000000-0010-0000-0500-000009000000}" name="USE−"/>
    <tableColumn id="10" xr3:uid="{00000000-0010-0000-0500-00000A000000}" name="UX+"/>
    <tableColumn id="11" xr3:uid="{00000000-0010-0000-0500-00000B000000}" name="UX−"/>
    <tableColumn id="12" xr3:uid="{00000000-0010-0000-0500-00000C000000}" name="REL+"/>
    <tableColumn id="13" xr3:uid="{00000000-0010-0000-0500-00000D000000}" name="REL−"/>
    <tableColumn id="14" xr3:uid="{00000000-0010-0000-0500-00000E000000}" name="TRUST+"/>
    <tableColumn id="15" xr3:uid="{00000000-0010-0000-0500-00000F000000}" name="TRUST−"/>
    <tableColumn id="16" xr3:uid="{00000000-0010-0000-0500-000010000000}" name="LOC+"/>
    <tableColumn id="17" xr3:uid="{00000000-0010-0000-0500-000011000000}" name="LOC−"/>
    <tableColumn id="18" xr3:uid="{00000000-0010-0000-0500-000012000000}" name="DIGI+"/>
    <tableColumn id="19" xr3:uid="{00000000-0010-0000-0500-000013000000}" name="DIGI−"/>
    <tableColumn id="20" xr3:uid="{00000000-0010-0000-0500-000014000000}" name="ISSUE"/>
    <tableColumn id="21" xr3:uid="{00000000-0010-0000-0500-000015000000}" name="AI+"/>
    <tableColumn id="22" xr3:uid="{00000000-0010-0000-0500-000016000000}" name="AI−"/>
    <tableColumn id="23" xr3:uid="{00000000-0010-0000-0500-000017000000}" name="Notes"/>
  </tableColumns>
  <tableStyleInfo name="TableStyleLight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4A97964-B1BC-444E-A1A2-6FE7F32A9142}" name="Table911" displayName="Table911" ref="A1:U57" totalsRowShown="0">
  <autoFilter ref="A1:U57" xr:uid="{A4176C61-224E-4C1E-8483-50FAF81289C2}"/>
  <tableColumns count="21">
    <tableColumn id="1" xr3:uid="{84EED3D8-A6FB-4BBE-AB66-9939D4D6C41D}" name="Case_ID"/>
    <tableColumn id="2" xr3:uid="{131D0C89-A871-417A-B267-E6322D573528}" name="ID"/>
    <tableColumn id="3" xr3:uid="{5C255355-8691-4D4A-AAF2-4177DC3FF455}" name="Company"/>
    <tableColumn id="4" xr3:uid="{EDC9088A-E89B-4056-9D24-DF98F8A8A0EE}" name="Platform"/>
    <tableColumn id="5" xr3:uid="{038F8C9F-C089-4BDE-8057-D110CA2E58BA}" name="Period"/>
    <tableColumn id="6" xr3:uid="{D08C8261-63B7-46D2-B9FC-82DCDAFAE81A}" name="Review Text (short)" dataDxfId="31"/>
    <tableColumn id="7" xr3:uid="{D4836CA5-1584-4682-9989-B7A0658F099A}" name="USE+"/>
    <tableColumn id="8" xr3:uid="{774E9F97-ECBF-4CD7-B9D1-032D09D87E7E}" name="USE−"/>
    <tableColumn id="9" xr3:uid="{2B5946D9-3789-46BD-82A3-2E8490CA0D2F}" name="UX+"/>
    <tableColumn id="10" xr3:uid="{37D293F3-2E1C-4AC7-994F-3B42599FD969}" name="UX−"/>
    <tableColumn id="11" xr3:uid="{759DDE9F-575D-477B-8DCB-BA3D52D4C4BA}" name="REL+"/>
    <tableColumn id="12" xr3:uid="{A2675754-2350-4852-A22D-C48E64C38072}" name="REL−"/>
    <tableColumn id="13" xr3:uid="{A76BBBC4-FDD4-42F9-B389-D38DBA4FA755}" name="TRUST+"/>
    <tableColumn id="14" xr3:uid="{1376D9D3-A90E-43AF-8D57-96349975A6F3}" name="TRUST−"/>
    <tableColumn id="15" xr3:uid="{BCF32FA6-49AD-4852-BEC8-BECB8E705AE9}" name="LOC+"/>
    <tableColumn id="16" xr3:uid="{3868B3A1-A516-4EB0-B531-5A63638AC4F4}" name="LOC−"/>
    <tableColumn id="17" xr3:uid="{E0F25919-220C-4ADC-AC3C-5C74FF648C53}" name="DIGI+"/>
    <tableColumn id="18" xr3:uid="{B1378511-D3AA-41ED-80EE-CA11FD9AB943}" name="DIGI−"/>
    <tableColumn id="19" xr3:uid="{CEDA3FC2-7533-4910-9C31-2916365A1280}" name="ISSUE"/>
    <tableColumn id="20" xr3:uid="{F2DEE9BD-FB28-4F26-ABB9-F54D1A84C091}" name="AI+"/>
    <tableColumn id="21" xr3:uid="{508450B8-C703-42DC-9721-CCC7F3895AA4}" name="AI−"/>
  </tableColumns>
  <tableStyleInfo name="TableStyleLight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5777C3C-41D5-45DA-B6A8-1D1B0FBC96E3}" name="Table11" displayName="Table11" ref="A60:U156" totalsRowShown="0" headerRowDxfId="30" dataDxfId="28" headerRowBorderDxfId="29" tableBorderDxfId="27">
  <autoFilter ref="A60:U156" xr:uid="{75777C3C-41D5-45DA-B6A8-1D1B0FBC96E3}"/>
  <tableColumns count="21">
    <tableColumn id="1" xr3:uid="{928955C3-7876-4A8D-BCF8-4ED44E4F41B4}" name="Case_ID" dataDxfId="26"/>
    <tableColumn id="2" xr3:uid="{34DCE01B-1C77-497D-BC2A-465D4161CDA0}" name="ID" dataDxfId="25"/>
    <tableColumn id="3" xr3:uid="{5C5D0574-2D9E-4F2D-BC53-D46BF17D8FD1}" name="Company" dataDxfId="24"/>
    <tableColumn id="4" xr3:uid="{396852C1-1EB4-4625-B08F-8028F782ABF5}" name="Platform" dataDxfId="23"/>
    <tableColumn id="5" xr3:uid="{AA3A66CA-7C14-44DD-9924-6E9FCC47B866}" name="Period" dataDxfId="22"/>
    <tableColumn id="6" xr3:uid="{EFE76A9F-B75E-4D5E-B3F4-851B0F5AB3B7}" name="Review Text (short)" dataDxfId="21"/>
    <tableColumn id="7" xr3:uid="{D9E36D6B-7F1D-456B-9693-766857BDAFFF}" name="USE+" dataDxfId="20"/>
    <tableColumn id="8" xr3:uid="{21744B80-173B-4993-A9BE-AD8F5CB9BDA4}" name="USE−" dataDxfId="19"/>
    <tableColumn id="9" xr3:uid="{21633C9E-A02F-4311-9EDA-AF5C882798D8}" name="UX+" dataDxfId="18"/>
    <tableColumn id="10" xr3:uid="{82829C7A-D35C-4A3C-85CB-7CD52F66D595}" name="UX−" dataDxfId="17"/>
    <tableColumn id="11" xr3:uid="{7DDAED33-141E-4122-BC0D-E93F18F1837D}" name="REL+" dataDxfId="16"/>
    <tableColumn id="12" xr3:uid="{A3979AE7-312F-4518-B692-0376BB2D59AD}" name="REL−" dataDxfId="15"/>
    <tableColumn id="13" xr3:uid="{818D284A-CEE4-41F6-AD22-665DC9586CEB}" name="TRUST+" dataDxfId="14"/>
    <tableColumn id="14" xr3:uid="{36BC8997-0DE2-4066-B921-3C5FC1778A0C}" name="TRUST−" dataDxfId="13"/>
    <tableColumn id="15" xr3:uid="{82DA97B6-8D13-41A2-9BA4-1B22F3D96900}" name="LOC+" dataDxfId="12"/>
    <tableColumn id="16" xr3:uid="{B1EB36EB-8259-4529-814A-B808213CE025}" name="LOC−" dataDxfId="11"/>
    <tableColumn id="17" xr3:uid="{6917117F-81EA-43D6-93CC-A8FFC175BF43}" name="DIGI+" dataDxfId="10"/>
    <tableColumn id="18" xr3:uid="{33AB006D-F467-4CBE-9998-E27DCD243F38}" name="DIGI−" dataDxfId="9"/>
    <tableColumn id="19" xr3:uid="{D58F5F43-B68E-4CBD-845D-E1422C6DA55F}" name="ISSUE" dataDxfId="8"/>
    <tableColumn id="20" xr3:uid="{2F789B71-6217-46F3-9520-E3FB12A2079B}" name="AI+" dataDxfId="7"/>
    <tableColumn id="21" xr3:uid="{C0F72BDB-DFA5-466E-87B0-66D559DDA680}" name="AI−" dataDxfId="6"/>
  </tableColumns>
  <tableStyleInfo name="TableStyleLight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24F789C-F985-4A05-B81F-994D35987A98}" name="Table12" displayName="Table12" ref="A2:D10" totalsRowShown="0" headerRowDxfId="5">
  <autoFilter ref="A2:D10" xr:uid="{024F789C-F985-4A05-B81F-994D35987A98}"/>
  <tableColumns count="4">
    <tableColumn id="1" xr3:uid="{15B7D56C-BF01-4AA4-93C2-6C024999C299}" name="Category" dataDxfId="4"/>
    <tableColumn id="2" xr3:uid="{564C1525-38DE-4A44-B904-A87757573145}" name="Pos"/>
    <tableColumn id="3" xr3:uid="{085D28D6-EB12-45A2-A178-7C6108A0D4C2}" name="Neg"/>
    <tableColumn id="4" xr3:uid="{F1F8400B-978A-4873-B61B-00A09708884B}" name="Total">
      <calculatedColumnFormula>SUM(B3:C3)</calculatedColumnFormula>
    </tableColumn>
  </tableColumns>
  <tableStyleInfo name="TableStyleLight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01C5F68-73F9-4D9F-B01E-DE6A884D3633}" name="Table13" displayName="Table13" ref="G2:J10" totalsRowShown="0">
  <autoFilter ref="G2:J10" xr:uid="{B01C5F68-73F9-4D9F-B01E-DE6A884D3633}"/>
  <tableColumns count="4">
    <tableColumn id="1" xr3:uid="{7E3B8A17-0B65-4CB1-85DB-FA8921FC1545}" name="Category" dataDxfId="3"/>
    <tableColumn id="2" xr3:uid="{E171C47A-BF6F-44E3-82E8-121642A32C7F}" name="Pos" dataDxfId="2"/>
    <tableColumn id="3" xr3:uid="{358EB50E-9302-4161-B14A-7D7E76552931}" name="Neg" dataDxfId="1"/>
    <tableColumn id="4" xr3:uid="{F1602429-2486-4935-B88A-967D19AF0FD5}" name="Total" dataDxfId="0">
      <calculatedColumnFormula>SUM(H3:I3)</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destatis.de/EN/Themes/Economy/National-Accounts-Domestic-Product/Tables/domestic-product-q-gdp.html" TargetMode="External"/><Relationship Id="rId1" Type="http://schemas.openxmlformats.org/officeDocument/2006/relationships/hyperlink" Target="https://www.stats.gov.cn/english/"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carexpert.com.au/car-news/byd-atto-3-seal-dolphin-gain-wireless-apple-carplay" TargetMode="External"/><Relationship Id="rId3" Type="http://schemas.openxmlformats.org/officeDocument/2006/relationships/hyperlink" Target="https://cnevpost.com/2024/02/01/tesla-upgrades-model-y-self-driving-computer-hw-4-china/" TargetMode="External"/><Relationship Id="rId7" Type="http://schemas.openxmlformats.org/officeDocument/2006/relationships/hyperlink" Target="https://www.byd-atto3-forum.de/forum/thread/281-ota-1-7/" TargetMode="External"/><Relationship Id="rId2" Type="http://schemas.openxmlformats.org/officeDocument/2006/relationships/hyperlink" Target="https://cnevpost.com/2024/12/13/tesla-rolls-out-ass-in-china/" TargetMode="External"/><Relationship Id="rId1" Type="http://schemas.openxmlformats.org/officeDocument/2006/relationships/hyperlink" Target="https://www.reuters.com/business/autos-transportation/tesla-recall-over-11-mln-foreign-china-made-cars-chinese-regulator-2023-05-12/" TargetMode="External"/><Relationship Id="rId6" Type="http://schemas.openxmlformats.org/officeDocument/2006/relationships/hyperlink" Target="https://www.whichcar.com.au/news/byd-atto-3-software-update-android-auto-apple-carplay" TargetMode="External"/><Relationship Id="rId11" Type="http://schemas.openxmlformats.org/officeDocument/2006/relationships/table" Target="../tables/table4.xml"/><Relationship Id="rId5" Type="http://schemas.openxmlformats.org/officeDocument/2006/relationships/hyperlink" Target="https://www.goingelectric.de/forum/viewtopic.php?t=85919" TargetMode="External"/><Relationship Id="rId10" Type="http://schemas.openxmlformats.org/officeDocument/2006/relationships/hyperlink" Target="https://www.euroncap.com/press-media/byd-improves-assisted-driving-system-in-response-to-euro-ncap-s-atto-3-grading/" TargetMode="External"/><Relationship Id="rId4" Type="http://schemas.openxmlformats.org/officeDocument/2006/relationships/hyperlink" Target="https://cnevpost.com/2025/02/25/tesla-rolling-fsd-like-features-china/" TargetMode="External"/><Relationship Id="rId9" Type="http://schemas.openxmlformats.org/officeDocument/2006/relationships/hyperlink" Target="https://www.byd-atto3-forum.de/forum/thread/361-ota-2-0/"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8" Type="http://schemas.openxmlformats.org/officeDocument/2006/relationships/hyperlink" Target="https://www.goingelectric.de/forum/viewtopic.php?f=1353&amp;t=97478" TargetMode="External"/><Relationship Id="rId13" Type="http://schemas.openxmlformats.org/officeDocument/2006/relationships/hyperlink" Target="https://www.goingelectric.de/forum/viewtopic.php?f=935&amp;t=93267" TargetMode="External"/><Relationship Id="rId18" Type="http://schemas.openxmlformats.org/officeDocument/2006/relationships/table" Target="../tables/table6.xml"/><Relationship Id="rId3" Type="http://schemas.openxmlformats.org/officeDocument/2006/relationships/hyperlink" Target="https://club.autohome.com.cn/bbs/thread/d915557bfdabd992/107606189-1.html" TargetMode="External"/><Relationship Id="rId7" Type="http://schemas.openxmlformats.org/officeDocument/2006/relationships/hyperlink" Target="https://club.autohome.com.cn/bbs/thread/d915557bfdabd992/110212244-1.html" TargetMode="External"/><Relationship Id="rId12" Type="http://schemas.openxmlformats.org/officeDocument/2006/relationships/hyperlink" Target="https://www.goingelectric.de/forum/viewtopic.php?f=777&amp;t=100391" TargetMode="External"/><Relationship Id="rId17" Type="http://schemas.openxmlformats.org/officeDocument/2006/relationships/hyperlink" Target="https://www.goingelectric.de/forum/viewtopic.php?f=45&amp;t=97855&amp;start=20&amp;sid=8459893a562eeb607cc41560918f4d34" TargetMode="External"/><Relationship Id="rId2" Type="http://schemas.openxmlformats.org/officeDocument/2006/relationships/hyperlink" Target="https://club.autohome.com.cn/bbs/thread/d915557bfdabd992/110684131-1.html" TargetMode="External"/><Relationship Id="rId16" Type="http://schemas.openxmlformats.org/officeDocument/2006/relationships/hyperlink" Target="https://www.goingelectric.de/forum/viewtopic.php?f=1185&amp;t=97481" TargetMode="External"/><Relationship Id="rId1" Type="http://schemas.openxmlformats.org/officeDocument/2006/relationships/hyperlink" Target="https://club.autohome.com.cn/bbs/thread/d915557bfdabd992/113884059-1.html" TargetMode="External"/><Relationship Id="rId6" Type="http://schemas.openxmlformats.org/officeDocument/2006/relationships/hyperlink" Target="https://club.autohome.com.cn/bbs/thread/d915557bfdabd992/110559634-1.html" TargetMode="External"/><Relationship Id="rId11" Type="http://schemas.openxmlformats.org/officeDocument/2006/relationships/hyperlink" Target="https://www.goingelectric.de/forum/viewtopic.php?f=935&amp;t=90714" TargetMode="External"/><Relationship Id="rId5" Type="http://schemas.openxmlformats.org/officeDocument/2006/relationships/hyperlink" Target="https://club.autohome.com.cn/bbs/thread/d915557bfdabd992/110795738-1.html" TargetMode="External"/><Relationship Id="rId15" Type="http://schemas.openxmlformats.org/officeDocument/2006/relationships/hyperlink" Target="https://www.goingelectric.de/forum/viewtopic.php?f=785&amp;t=85919" TargetMode="External"/><Relationship Id="rId10" Type="http://schemas.openxmlformats.org/officeDocument/2006/relationships/hyperlink" Target="https://www.goingelectric.de/forum/viewtopic.php?f=781&amp;t=85240&amp;start=40" TargetMode="External"/><Relationship Id="rId19" Type="http://schemas.openxmlformats.org/officeDocument/2006/relationships/table" Target="../tables/table7.xml"/><Relationship Id="rId4" Type="http://schemas.openxmlformats.org/officeDocument/2006/relationships/hyperlink" Target="https://club.autohome.com.cn/bbs/thread/d915557bfdabd992/110825872-1.html" TargetMode="External"/><Relationship Id="rId9" Type="http://schemas.openxmlformats.org/officeDocument/2006/relationships/hyperlink" Target="https://www.goingelectric.de/forum/viewtopic.php?f=785&amp;t=89186" TargetMode="External"/><Relationship Id="rId14" Type="http://schemas.openxmlformats.org/officeDocument/2006/relationships/hyperlink" Target="https://www.goingelectric.de/forum/viewtopic.php?f=784&amp;t=86577" TargetMode="Externa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Y39"/>
  <sheetViews>
    <sheetView showOutlineSymbols="0" topLeftCell="A10" workbookViewId="0">
      <selection activeCell="A12" sqref="A12"/>
    </sheetView>
  </sheetViews>
  <sheetFormatPr defaultRowHeight="14.4" x14ac:dyDescent="0.3"/>
  <cols>
    <col min="1" max="1" width="37" customWidth="1"/>
    <col min="2" max="4" width="8.88671875" customWidth="1"/>
    <col min="5" max="5" width="11.21875" customWidth="1"/>
    <col min="6" max="6" width="8.88671875" customWidth="1"/>
    <col min="9" max="14" width="8.88671875" customWidth="1"/>
    <col min="17" max="22" width="8.88671875" customWidth="1"/>
    <col min="25" max="25" width="8.88671875" customWidth="1"/>
  </cols>
  <sheetData>
    <row r="1" spans="1:25" x14ac:dyDescent="0.3">
      <c r="A1" t="s">
        <v>0</v>
      </c>
      <c r="B1" s="60" t="s">
        <v>1</v>
      </c>
      <c r="C1" s="60"/>
      <c r="D1" s="60"/>
      <c r="E1" s="60"/>
      <c r="F1" s="60" t="s">
        <v>2</v>
      </c>
      <c r="G1" s="60"/>
      <c r="H1" s="60"/>
      <c r="I1" s="60"/>
      <c r="J1" s="60" t="s">
        <v>1</v>
      </c>
      <c r="K1" s="60"/>
      <c r="L1" s="60"/>
      <c r="M1" s="60"/>
      <c r="N1" s="60" t="s">
        <v>2</v>
      </c>
      <c r="O1" s="60"/>
      <c r="P1" s="60"/>
      <c r="Q1" s="60"/>
      <c r="R1" s="60" t="s">
        <v>1</v>
      </c>
      <c r="S1" s="60"/>
      <c r="T1" s="60"/>
      <c r="U1" s="60"/>
      <c r="V1" s="60" t="s">
        <v>2</v>
      </c>
      <c r="W1" s="60"/>
      <c r="X1" s="60"/>
      <c r="Y1" s="60"/>
    </row>
    <row r="2" spans="1:25" x14ac:dyDescent="0.3">
      <c r="A2" t="s">
        <v>3</v>
      </c>
      <c r="B2" t="s">
        <v>4</v>
      </c>
      <c r="C2" t="s">
        <v>5</v>
      </c>
      <c r="D2" t="s">
        <v>6</v>
      </c>
      <c r="E2" t="s">
        <v>7</v>
      </c>
      <c r="F2" t="s">
        <v>4</v>
      </c>
      <c r="G2" t="s">
        <v>5</v>
      </c>
      <c r="H2" t="s">
        <v>6</v>
      </c>
      <c r="I2" t="s">
        <v>7</v>
      </c>
      <c r="J2" t="s">
        <v>8</v>
      </c>
      <c r="K2" t="s">
        <v>9</v>
      </c>
      <c r="L2" t="s">
        <v>10</v>
      </c>
      <c r="M2" t="s">
        <v>11</v>
      </c>
      <c r="N2" t="s">
        <v>8</v>
      </c>
      <c r="O2" t="s">
        <v>9</v>
      </c>
      <c r="P2" t="s">
        <v>10</v>
      </c>
      <c r="Q2" t="s">
        <v>11</v>
      </c>
      <c r="R2" t="s">
        <v>12</v>
      </c>
      <c r="S2" t="s">
        <v>13</v>
      </c>
      <c r="T2" t="s">
        <v>14</v>
      </c>
      <c r="U2" t="s">
        <v>15</v>
      </c>
      <c r="V2" t="s">
        <v>12</v>
      </c>
      <c r="W2" t="s">
        <v>13</v>
      </c>
      <c r="X2" t="s">
        <v>14</v>
      </c>
      <c r="Y2" t="s">
        <v>15</v>
      </c>
    </row>
    <row r="3" spans="1:25" x14ac:dyDescent="0.3">
      <c r="A3" s="17" t="s">
        <v>19</v>
      </c>
      <c r="B3" s="17"/>
      <c r="C3" s="17"/>
      <c r="D3" s="17"/>
      <c r="E3" s="17"/>
      <c r="F3" s="17"/>
      <c r="G3" s="17"/>
      <c r="H3" s="17"/>
      <c r="I3" s="17"/>
      <c r="J3" s="17"/>
      <c r="K3" s="17"/>
      <c r="L3" s="17"/>
      <c r="M3" s="17"/>
      <c r="N3" s="17"/>
      <c r="O3" s="17"/>
      <c r="P3" s="17"/>
      <c r="Q3" s="17"/>
      <c r="R3" s="17"/>
      <c r="S3" s="17"/>
      <c r="T3" s="17"/>
      <c r="U3" s="17"/>
      <c r="V3" s="17"/>
      <c r="W3" s="17"/>
      <c r="X3" s="17"/>
      <c r="Y3" s="17"/>
    </row>
    <row r="4" spans="1:25" x14ac:dyDescent="0.3">
      <c r="A4" t="s">
        <v>20</v>
      </c>
      <c r="B4">
        <v>3</v>
      </c>
      <c r="C4">
        <v>0</v>
      </c>
      <c r="D4">
        <v>0</v>
      </c>
      <c r="E4">
        <v>0</v>
      </c>
      <c r="F4">
        <v>7</v>
      </c>
      <c r="G4">
        <v>0</v>
      </c>
      <c r="H4">
        <v>0</v>
      </c>
      <c r="I4">
        <v>0</v>
      </c>
      <c r="J4">
        <v>0</v>
      </c>
      <c r="K4">
        <v>0</v>
      </c>
      <c r="L4">
        <v>0</v>
      </c>
      <c r="M4">
        <v>1</v>
      </c>
      <c r="N4">
        <v>1</v>
      </c>
      <c r="O4">
        <v>0</v>
      </c>
      <c r="P4">
        <v>0</v>
      </c>
      <c r="Q4">
        <v>0</v>
      </c>
      <c r="R4">
        <v>2</v>
      </c>
      <c r="S4">
        <v>0</v>
      </c>
      <c r="T4">
        <v>0</v>
      </c>
      <c r="U4">
        <v>0</v>
      </c>
      <c r="V4">
        <v>1</v>
      </c>
      <c r="W4">
        <v>0</v>
      </c>
      <c r="X4">
        <v>0</v>
      </c>
      <c r="Y4">
        <v>0</v>
      </c>
    </row>
    <row r="5" spans="1:25" s="52" customFormat="1" x14ac:dyDescent="0.3">
      <c r="A5" s="51" t="s">
        <v>21</v>
      </c>
      <c r="B5" s="51">
        <v>2</v>
      </c>
      <c r="C5" s="51">
        <v>0</v>
      </c>
      <c r="D5" s="51">
        <v>0</v>
      </c>
      <c r="E5" s="51">
        <v>0</v>
      </c>
      <c r="F5" s="51">
        <v>3</v>
      </c>
      <c r="G5" s="51">
        <v>0</v>
      </c>
      <c r="H5" s="51">
        <v>0</v>
      </c>
      <c r="I5" s="51">
        <v>0</v>
      </c>
      <c r="J5" s="51">
        <v>0</v>
      </c>
      <c r="K5" s="51">
        <v>0</v>
      </c>
      <c r="L5" s="51">
        <v>0</v>
      </c>
      <c r="M5" s="51">
        <v>0</v>
      </c>
      <c r="N5" s="51">
        <v>0</v>
      </c>
      <c r="O5" s="51">
        <v>0</v>
      </c>
      <c r="P5" s="51">
        <v>0</v>
      </c>
      <c r="Q5" s="51">
        <v>0</v>
      </c>
      <c r="R5" s="51">
        <v>1</v>
      </c>
      <c r="S5" s="51">
        <v>0</v>
      </c>
      <c r="T5" s="51">
        <v>0</v>
      </c>
      <c r="U5" s="51">
        <v>0</v>
      </c>
      <c r="V5" s="51">
        <v>0</v>
      </c>
      <c r="W5" s="51">
        <v>0</v>
      </c>
      <c r="X5" s="51">
        <v>0</v>
      </c>
      <c r="Y5" s="51">
        <v>0</v>
      </c>
    </row>
    <row r="6" spans="1:25" s="52" customFormat="1" x14ac:dyDescent="0.3">
      <c r="A6" s="51" t="s">
        <v>22</v>
      </c>
      <c r="B6" s="51">
        <v>0</v>
      </c>
      <c r="C6" s="51">
        <v>0</v>
      </c>
      <c r="D6" s="51">
        <v>0</v>
      </c>
      <c r="E6" s="51">
        <v>0</v>
      </c>
      <c r="F6" s="51">
        <v>1</v>
      </c>
      <c r="G6" s="51">
        <v>0</v>
      </c>
      <c r="H6" s="51">
        <v>0</v>
      </c>
      <c r="I6" s="51">
        <v>0</v>
      </c>
      <c r="J6" s="51">
        <v>0</v>
      </c>
      <c r="K6" s="51">
        <v>0</v>
      </c>
      <c r="L6" s="51">
        <v>0</v>
      </c>
      <c r="M6" s="51">
        <v>0</v>
      </c>
      <c r="N6" s="51">
        <v>0</v>
      </c>
      <c r="O6" s="51">
        <v>0</v>
      </c>
      <c r="P6" s="51">
        <v>0</v>
      </c>
      <c r="Q6" s="51">
        <v>0</v>
      </c>
      <c r="R6" s="51">
        <v>0</v>
      </c>
      <c r="S6" s="51">
        <v>0</v>
      </c>
      <c r="T6" s="51">
        <v>0</v>
      </c>
      <c r="U6" s="51">
        <v>0</v>
      </c>
      <c r="V6" s="51">
        <v>0</v>
      </c>
      <c r="W6" s="51">
        <v>0</v>
      </c>
      <c r="X6" s="51">
        <v>0</v>
      </c>
      <c r="Y6" s="51">
        <v>0</v>
      </c>
    </row>
    <row r="7" spans="1:25" s="52" customFormat="1" x14ac:dyDescent="0.3">
      <c r="A7" s="51" t="s">
        <v>23</v>
      </c>
      <c r="B7" s="51">
        <v>1</v>
      </c>
      <c r="C7" s="51">
        <v>0</v>
      </c>
      <c r="D7" s="51">
        <v>0</v>
      </c>
      <c r="E7" s="51">
        <v>0</v>
      </c>
      <c r="F7" s="51">
        <v>3</v>
      </c>
      <c r="G7" s="51">
        <v>0</v>
      </c>
      <c r="H7" s="51">
        <v>0</v>
      </c>
      <c r="I7" s="51">
        <v>0</v>
      </c>
      <c r="J7" s="51">
        <v>0</v>
      </c>
      <c r="K7" s="51">
        <v>0</v>
      </c>
      <c r="L7" s="51">
        <v>0</v>
      </c>
      <c r="M7" s="51">
        <v>1</v>
      </c>
      <c r="N7" s="51">
        <v>1</v>
      </c>
      <c r="O7" s="51">
        <v>0</v>
      </c>
      <c r="P7" s="51">
        <v>0</v>
      </c>
      <c r="Q7" s="51">
        <v>0</v>
      </c>
      <c r="R7" s="51">
        <v>1</v>
      </c>
      <c r="S7" s="51">
        <v>0</v>
      </c>
      <c r="T7" s="51">
        <v>0</v>
      </c>
      <c r="U7" s="51">
        <v>0</v>
      </c>
      <c r="V7" s="51">
        <v>1</v>
      </c>
      <c r="W7" s="51">
        <v>0</v>
      </c>
      <c r="X7" s="51">
        <v>0</v>
      </c>
      <c r="Y7" s="51">
        <v>0</v>
      </c>
    </row>
    <row r="8" spans="1:25" x14ac:dyDescent="0.3">
      <c r="A8" t="s">
        <v>24</v>
      </c>
      <c r="B8">
        <v>0</v>
      </c>
      <c r="C8">
        <v>0</v>
      </c>
      <c r="D8">
        <v>0</v>
      </c>
      <c r="E8">
        <v>0</v>
      </c>
      <c r="F8">
        <v>3</v>
      </c>
      <c r="G8">
        <v>3</v>
      </c>
      <c r="H8">
        <v>3</v>
      </c>
      <c r="I8">
        <v>3</v>
      </c>
      <c r="J8">
        <v>2</v>
      </c>
      <c r="K8">
        <v>2</v>
      </c>
      <c r="L8">
        <v>2</v>
      </c>
      <c r="M8">
        <v>2</v>
      </c>
      <c r="N8">
        <v>5</v>
      </c>
      <c r="O8">
        <v>5</v>
      </c>
      <c r="P8">
        <v>5</v>
      </c>
      <c r="Q8">
        <v>5</v>
      </c>
      <c r="R8">
        <v>3</v>
      </c>
      <c r="S8">
        <v>3</v>
      </c>
      <c r="T8">
        <v>3</v>
      </c>
      <c r="U8">
        <v>3</v>
      </c>
      <c r="V8">
        <v>4</v>
      </c>
      <c r="W8">
        <v>4</v>
      </c>
      <c r="X8">
        <v>4</v>
      </c>
      <c r="Y8">
        <v>4</v>
      </c>
    </row>
    <row r="9" spans="1:25" x14ac:dyDescent="0.3">
      <c r="A9" t="s">
        <v>25</v>
      </c>
      <c r="B9">
        <v>3</v>
      </c>
      <c r="C9">
        <v>3</v>
      </c>
      <c r="D9">
        <v>3</v>
      </c>
      <c r="E9">
        <v>3</v>
      </c>
      <c r="F9">
        <v>1</v>
      </c>
      <c r="G9">
        <v>1</v>
      </c>
      <c r="H9">
        <v>2</v>
      </c>
      <c r="I9">
        <v>2</v>
      </c>
      <c r="J9">
        <v>3</v>
      </c>
      <c r="K9">
        <v>3</v>
      </c>
      <c r="L9">
        <v>3</v>
      </c>
      <c r="M9">
        <v>3</v>
      </c>
      <c r="N9">
        <v>2</v>
      </c>
      <c r="O9">
        <v>2</v>
      </c>
      <c r="P9">
        <v>2</v>
      </c>
      <c r="Q9">
        <v>2</v>
      </c>
      <c r="R9">
        <v>3</v>
      </c>
      <c r="S9">
        <v>3</v>
      </c>
      <c r="T9">
        <v>3</v>
      </c>
      <c r="U9">
        <v>3</v>
      </c>
      <c r="V9">
        <v>2</v>
      </c>
      <c r="W9">
        <v>2</v>
      </c>
      <c r="X9">
        <v>2</v>
      </c>
      <c r="Y9">
        <v>2</v>
      </c>
    </row>
    <row r="10" spans="1:25" ht="17.25" customHeight="1" x14ac:dyDescent="0.3">
      <c r="A10" s="17" t="s">
        <v>26</v>
      </c>
      <c r="B10" s="17"/>
      <c r="C10" s="17"/>
      <c r="D10" s="17"/>
      <c r="E10" s="17"/>
      <c r="F10" s="17"/>
      <c r="G10" s="17"/>
      <c r="H10" s="17"/>
      <c r="I10" s="17"/>
      <c r="J10" s="17"/>
      <c r="K10" s="17"/>
      <c r="L10" s="17"/>
      <c r="M10" s="17"/>
      <c r="N10" s="17"/>
      <c r="O10" s="17"/>
      <c r="P10" s="17"/>
      <c r="Q10" s="17"/>
      <c r="R10" s="17"/>
      <c r="S10" s="17"/>
      <c r="T10" s="17"/>
      <c r="U10" s="17"/>
      <c r="V10" s="17"/>
      <c r="W10" s="17"/>
      <c r="X10" s="17"/>
      <c r="Y10" s="17"/>
    </row>
    <row r="11" spans="1:25" ht="54" customHeight="1" x14ac:dyDescent="0.3">
      <c r="A11" s="71" t="s">
        <v>27</v>
      </c>
      <c r="B11">
        <v>2</v>
      </c>
      <c r="C11">
        <v>2</v>
      </c>
      <c r="D11">
        <v>2</v>
      </c>
      <c r="E11">
        <v>2</v>
      </c>
      <c r="F11">
        <v>0</v>
      </c>
      <c r="G11">
        <v>0</v>
      </c>
      <c r="H11">
        <v>0</v>
      </c>
      <c r="I11">
        <v>0</v>
      </c>
      <c r="J11">
        <v>2</v>
      </c>
      <c r="K11">
        <v>2</v>
      </c>
      <c r="L11">
        <v>2</v>
      </c>
      <c r="M11">
        <v>2</v>
      </c>
      <c r="N11">
        <v>0</v>
      </c>
      <c r="O11">
        <v>0</v>
      </c>
      <c r="P11">
        <v>0</v>
      </c>
      <c r="Q11">
        <v>0</v>
      </c>
      <c r="R11">
        <v>3</v>
      </c>
      <c r="S11">
        <v>3</v>
      </c>
      <c r="T11">
        <v>3</v>
      </c>
      <c r="U11">
        <v>3</v>
      </c>
      <c r="V11">
        <v>0</v>
      </c>
      <c r="W11">
        <v>0</v>
      </c>
      <c r="X11">
        <v>0</v>
      </c>
      <c r="Y11">
        <v>0</v>
      </c>
    </row>
    <row r="12" spans="1:25" ht="54" customHeight="1" x14ac:dyDescent="0.3">
      <c r="A12" s="71" t="s">
        <v>28</v>
      </c>
      <c r="B12">
        <v>1</v>
      </c>
      <c r="C12">
        <v>1</v>
      </c>
      <c r="D12">
        <v>1</v>
      </c>
      <c r="E12">
        <v>1</v>
      </c>
      <c r="F12">
        <v>1</v>
      </c>
      <c r="G12">
        <v>1</v>
      </c>
      <c r="H12">
        <v>1</v>
      </c>
      <c r="I12">
        <v>1</v>
      </c>
      <c r="J12">
        <v>1</v>
      </c>
      <c r="K12">
        <v>1</v>
      </c>
      <c r="L12">
        <v>1</v>
      </c>
      <c r="M12">
        <v>1</v>
      </c>
      <c r="N12">
        <v>2</v>
      </c>
      <c r="O12">
        <v>2</v>
      </c>
      <c r="P12">
        <v>2</v>
      </c>
      <c r="Q12">
        <v>2</v>
      </c>
      <c r="R12">
        <v>2</v>
      </c>
      <c r="S12">
        <v>2</v>
      </c>
      <c r="T12">
        <v>3</v>
      </c>
      <c r="U12">
        <v>3</v>
      </c>
      <c r="V12">
        <v>2</v>
      </c>
      <c r="W12">
        <v>2</v>
      </c>
      <c r="X12">
        <v>2</v>
      </c>
      <c r="Y12">
        <v>2</v>
      </c>
    </row>
    <row r="13" spans="1:25" x14ac:dyDescent="0.3">
      <c r="A13" s="68" t="s">
        <v>731</v>
      </c>
    </row>
    <row r="14" spans="1:25" s="18" customFormat="1" x14ac:dyDescent="0.3">
      <c r="A14" s="18" t="s">
        <v>29</v>
      </c>
      <c r="B14" s="18">
        <v>1</v>
      </c>
      <c r="C14" s="18">
        <v>1</v>
      </c>
      <c r="D14" s="18">
        <v>1</v>
      </c>
      <c r="E14" s="18">
        <v>1</v>
      </c>
      <c r="F14" s="18">
        <v>0</v>
      </c>
      <c r="G14" s="18">
        <v>0</v>
      </c>
      <c r="H14" s="18">
        <v>0</v>
      </c>
      <c r="I14" s="18">
        <v>0</v>
      </c>
      <c r="J14" s="18">
        <v>1</v>
      </c>
      <c r="K14" s="18">
        <v>1</v>
      </c>
      <c r="L14" s="18">
        <v>1</v>
      </c>
      <c r="M14" s="18">
        <v>1</v>
      </c>
      <c r="N14" s="18">
        <v>0</v>
      </c>
      <c r="O14" s="18">
        <v>0</v>
      </c>
      <c r="P14" s="18">
        <v>0</v>
      </c>
      <c r="Q14" s="18">
        <v>0</v>
      </c>
      <c r="R14" s="18">
        <v>1</v>
      </c>
      <c r="S14" s="18">
        <v>1</v>
      </c>
      <c r="T14" s="18">
        <v>1</v>
      </c>
      <c r="U14" s="18">
        <v>1</v>
      </c>
      <c r="V14" s="18">
        <v>0</v>
      </c>
      <c r="W14" s="18">
        <v>0</v>
      </c>
      <c r="X14" s="18">
        <v>0</v>
      </c>
      <c r="Y14" s="18">
        <v>0</v>
      </c>
    </row>
    <row r="15" spans="1:25" s="18" customFormat="1" x14ac:dyDescent="0.3">
      <c r="A15" s="18" t="s">
        <v>30</v>
      </c>
      <c r="B15" s="18">
        <v>1</v>
      </c>
      <c r="C15" s="18">
        <v>1</v>
      </c>
      <c r="D15" s="18">
        <v>1</v>
      </c>
      <c r="E15" s="18">
        <v>1</v>
      </c>
      <c r="F15" s="18">
        <v>0</v>
      </c>
      <c r="G15" s="18">
        <v>0</v>
      </c>
      <c r="H15" s="18">
        <v>0</v>
      </c>
      <c r="I15" s="18">
        <v>0</v>
      </c>
      <c r="J15" s="18">
        <v>1</v>
      </c>
      <c r="K15" s="18">
        <v>1</v>
      </c>
      <c r="L15" s="18">
        <v>1</v>
      </c>
      <c r="M15" s="18">
        <v>1</v>
      </c>
      <c r="N15" s="18">
        <v>0</v>
      </c>
      <c r="O15" s="18">
        <v>0</v>
      </c>
      <c r="P15" s="18">
        <v>0</v>
      </c>
      <c r="Q15" s="18">
        <v>0</v>
      </c>
      <c r="R15" s="18">
        <v>1</v>
      </c>
      <c r="S15" s="18">
        <v>1</v>
      </c>
      <c r="T15" s="18">
        <v>1</v>
      </c>
      <c r="U15" s="18">
        <v>1</v>
      </c>
      <c r="V15" s="18">
        <v>0</v>
      </c>
      <c r="W15" s="18">
        <v>0</v>
      </c>
      <c r="X15" s="18">
        <v>1</v>
      </c>
      <c r="Y15" s="18">
        <v>1</v>
      </c>
    </row>
    <row r="16" spans="1:25" s="18" customFormat="1" x14ac:dyDescent="0.3">
      <c r="A16" s="18" t="s">
        <v>31</v>
      </c>
      <c r="B16" s="18">
        <v>1</v>
      </c>
      <c r="C16" s="18">
        <v>1</v>
      </c>
      <c r="D16" s="18">
        <v>1</v>
      </c>
      <c r="E16" s="18">
        <v>1</v>
      </c>
      <c r="F16" s="18">
        <v>0</v>
      </c>
      <c r="G16" s="18">
        <v>0</v>
      </c>
      <c r="H16" s="18">
        <v>0</v>
      </c>
      <c r="I16" s="18">
        <v>0</v>
      </c>
      <c r="J16" s="18">
        <v>1</v>
      </c>
      <c r="K16" s="18">
        <v>1</v>
      </c>
      <c r="L16" s="18">
        <v>1</v>
      </c>
      <c r="M16" s="18">
        <v>1</v>
      </c>
      <c r="N16" s="18">
        <v>0</v>
      </c>
      <c r="O16" s="18">
        <v>0</v>
      </c>
      <c r="P16" s="18">
        <v>0</v>
      </c>
      <c r="Q16" s="18">
        <v>0</v>
      </c>
      <c r="R16" s="18">
        <v>1</v>
      </c>
      <c r="S16" s="18">
        <v>1</v>
      </c>
      <c r="T16" s="18">
        <v>1</v>
      </c>
      <c r="U16" s="18">
        <v>1</v>
      </c>
      <c r="V16" s="18">
        <v>0</v>
      </c>
      <c r="W16" s="18">
        <v>0</v>
      </c>
      <c r="X16" s="18">
        <v>0</v>
      </c>
      <c r="Y16" s="18">
        <v>0</v>
      </c>
    </row>
    <row r="17" spans="1:25" s="66" customFormat="1" x14ac:dyDescent="0.3">
      <c r="A17" s="67" t="s">
        <v>32</v>
      </c>
    </row>
    <row r="18" spans="1:25" s="72" customFormat="1" x14ac:dyDescent="0.3">
      <c r="A18" s="72" t="s">
        <v>33</v>
      </c>
      <c r="B18" s="73" t="s">
        <v>34</v>
      </c>
      <c r="C18" s="73"/>
      <c r="D18" s="73"/>
      <c r="E18" s="73"/>
      <c r="F18" s="73" t="s">
        <v>35</v>
      </c>
      <c r="G18" s="73"/>
      <c r="H18" s="73"/>
      <c r="I18" s="73"/>
      <c r="J18" s="73" t="s">
        <v>34</v>
      </c>
      <c r="K18" s="73"/>
      <c r="L18" s="73"/>
      <c r="M18" s="73"/>
      <c r="N18" s="73" t="s">
        <v>36</v>
      </c>
      <c r="O18" s="73"/>
      <c r="P18" s="73"/>
      <c r="Q18" s="73"/>
      <c r="R18" s="73" t="s">
        <v>34</v>
      </c>
      <c r="S18" s="73"/>
      <c r="T18" s="73"/>
      <c r="U18" s="73"/>
      <c r="V18" s="73" t="s">
        <v>37</v>
      </c>
      <c r="W18" s="73"/>
      <c r="X18" s="73"/>
      <c r="Y18" s="73"/>
    </row>
    <row r="19" spans="1:25" s="72" customFormat="1" ht="30" customHeight="1" x14ac:dyDescent="0.3">
      <c r="A19" s="72" t="s">
        <v>38</v>
      </c>
      <c r="B19" s="73" t="s">
        <v>39</v>
      </c>
      <c r="C19" s="73"/>
      <c r="D19" s="73"/>
      <c r="E19" s="73"/>
      <c r="F19" s="73">
        <v>0</v>
      </c>
      <c r="G19" s="73"/>
      <c r="H19" s="73"/>
      <c r="I19" s="73"/>
      <c r="J19" s="73" t="s">
        <v>39</v>
      </c>
      <c r="K19" s="73"/>
      <c r="L19" s="73"/>
      <c r="M19" s="73"/>
      <c r="N19" s="73" t="s">
        <v>40</v>
      </c>
      <c r="O19" s="73"/>
      <c r="P19" s="73"/>
      <c r="Q19" s="73"/>
      <c r="R19" s="73" t="s">
        <v>39</v>
      </c>
      <c r="S19" s="73"/>
      <c r="T19" s="73"/>
      <c r="U19" s="73"/>
      <c r="V19" s="73" t="s">
        <v>41</v>
      </c>
      <c r="W19" s="73"/>
      <c r="X19" s="73"/>
      <c r="Y19" s="73"/>
    </row>
    <row r="20" spans="1:25" s="72" customFormat="1" ht="44.4" customHeight="1" x14ac:dyDescent="0.3">
      <c r="A20" s="72" t="s">
        <v>42</v>
      </c>
      <c r="B20" s="73" t="s">
        <v>43</v>
      </c>
      <c r="C20" s="73"/>
      <c r="D20" s="73"/>
      <c r="E20" s="73"/>
      <c r="F20" s="73" t="s">
        <v>44</v>
      </c>
      <c r="G20" s="73"/>
      <c r="H20" s="73"/>
      <c r="I20" s="73"/>
      <c r="J20" s="73" t="s">
        <v>45</v>
      </c>
      <c r="K20" s="73"/>
      <c r="L20" s="73"/>
      <c r="M20" s="73"/>
      <c r="N20" s="73" t="s">
        <v>46</v>
      </c>
      <c r="O20" s="73"/>
      <c r="P20" s="73"/>
      <c r="Q20" s="73"/>
      <c r="R20" s="73" t="s">
        <v>45</v>
      </c>
      <c r="S20" s="73"/>
      <c r="T20" s="73"/>
      <c r="U20" s="73"/>
      <c r="V20" s="73" t="s">
        <v>47</v>
      </c>
      <c r="W20" s="73"/>
      <c r="X20" s="73"/>
      <c r="Y20" s="73"/>
    </row>
    <row r="21" spans="1:25" s="72" customFormat="1" ht="40.799999999999997" customHeight="1" x14ac:dyDescent="0.3">
      <c r="A21" s="72" t="s">
        <v>736</v>
      </c>
      <c r="B21" s="73" t="s">
        <v>48</v>
      </c>
      <c r="C21" s="73"/>
      <c r="D21" s="73"/>
      <c r="E21" s="73"/>
      <c r="F21" s="73" t="s">
        <v>388</v>
      </c>
      <c r="G21" s="73"/>
      <c r="H21" s="73"/>
      <c r="I21" s="73"/>
      <c r="J21" s="73" t="s">
        <v>49</v>
      </c>
      <c r="K21" s="73"/>
      <c r="L21" s="73"/>
      <c r="M21" s="73"/>
      <c r="N21" s="73" t="s">
        <v>50</v>
      </c>
      <c r="O21" s="73"/>
      <c r="P21" s="73"/>
      <c r="Q21" s="73"/>
      <c r="R21" s="73" t="s">
        <v>49</v>
      </c>
      <c r="S21" s="73"/>
      <c r="T21" s="73"/>
      <c r="U21" s="73"/>
      <c r="V21" s="73" t="s">
        <v>50</v>
      </c>
      <c r="W21" s="73"/>
      <c r="X21" s="73"/>
      <c r="Y21" s="73"/>
    </row>
    <row r="22" spans="1:25" x14ac:dyDescent="0.3">
      <c r="A22" s="17" t="s">
        <v>51</v>
      </c>
      <c r="B22" s="17"/>
      <c r="C22" s="17"/>
      <c r="D22" s="17"/>
      <c r="E22" s="17"/>
      <c r="F22" s="17"/>
      <c r="G22" s="17"/>
      <c r="H22" s="17"/>
      <c r="I22" s="17"/>
      <c r="J22" s="17"/>
      <c r="K22" s="17"/>
      <c r="L22" s="17"/>
      <c r="M22" s="17"/>
      <c r="N22" s="17"/>
      <c r="O22" s="17"/>
      <c r="P22" s="17"/>
      <c r="Q22" s="17"/>
      <c r="R22" s="17"/>
      <c r="S22" s="17"/>
      <c r="T22" s="17"/>
      <c r="U22" s="17"/>
      <c r="V22" s="17"/>
      <c r="W22" s="17"/>
      <c r="X22" s="17"/>
      <c r="Y22" s="17"/>
    </row>
    <row r="23" spans="1:25" x14ac:dyDescent="0.3">
      <c r="A23" t="s">
        <v>52</v>
      </c>
      <c r="L23">
        <f>UE!C2</f>
        <v>368</v>
      </c>
      <c r="M23">
        <f>UE!C3</f>
        <v>975</v>
      </c>
      <c r="O23">
        <f>UE!C4</f>
        <v>126</v>
      </c>
      <c r="P23">
        <f>UE!C5</f>
        <v>302</v>
      </c>
      <c r="Q23">
        <f>UE!C6</f>
        <v>300</v>
      </c>
      <c r="R23">
        <v>479</v>
      </c>
      <c r="S23">
        <f>UE!C8</f>
        <v>321</v>
      </c>
      <c r="T23">
        <f>UE!C9</f>
        <v>845</v>
      </c>
      <c r="U23">
        <f>UE!C10</f>
        <v>4536</v>
      </c>
      <c r="V23">
        <f>UE!C11</f>
        <v>295</v>
      </c>
      <c r="W23">
        <f>UE!C12</f>
        <v>494</v>
      </c>
      <c r="X23">
        <f>UE!C13</f>
        <v>354</v>
      </c>
      <c r="Y23">
        <f>UE!C14</f>
        <v>499</v>
      </c>
    </row>
    <row r="24" spans="1:25" x14ac:dyDescent="0.3">
      <c r="A24" t="s">
        <v>53</v>
      </c>
      <c r="L24" s="25">
        <f>UE!E2</f>
        <v>0.79619565217391308</v>
      </c>
      <c r="M24" s="25">
        <f>UE!E3</f>
        <v>0.86564102564102563</v>
      </c>
      <c r="N24" s="25"/>
      <c r="O24" s="25">
        <f>UE!E4</f>
        <v>0.8571428571428571</v>
      </c>
      <c r="P24" s="25">
        <f>UE!E5</f>
        <v>0.46026490066225167</v>
      </c>
      <c r="Q24" s="25">
        <f>UE!E6</f>
        <v>0.53666666666666663</v>
      </c>
      <c r="R24" s="25">
        <f>UE!E7</f>
        <v>0.79749478079331937</v>
      </c>
      <c r="S24" s="25">
        <f>UE!E8</f>
        <v>0.71962616822429903</v>
      </c>
      <c r="T24" s="25">
        <f>UE!E9</f>
        <v>0.8970414201183432</v>
      </c>
      <c r="U24" s="25">
        <f>UE!E10</f>
        <v>0.96296296296296291</v>
      </c>
      <c r="V24" s="25">
        <f>UE!E11</f>
        <v>0.56271186440677967</v>
      </c>
      <c r="W24" s="25">
        <f>UE!E12</f>
        <v>0.64777327935222673</v>
      </c>
      <c r="X24" s="25">
        <f>UE!E13</f>
        <v>0.57909604519774016</v>
      </c>
      <c r="Y24" s="25">
        <f>UE!E14</f>
        <v>0.58517034068136276</v>
      </c>
    </row>
    <row r="25" spans="1:25" x14ac:dyDescent="0.3">
      <c r="A25" t="s">
        <v>54</v>
      </c>
      <c r="L25" s="26">
        <f>UE!F2</f>
        <v>4.2934782608695654</v>
      </c>
      <c r="M25" s="26">
        <f>UE!F3</f>
        <v>4.4748717948717944</v>
      </c>
      <c r="N25" s="26"/>
      <c r="O25" s="26">
        <f>UE!F4</f>
        <v>4.4444444444444446</v>
      </c>
      <c r="P25" s="26">
        <f>UE!F5</f>
        <v>3.2847682119205297</v>
      </c>
      <c r="Q25" s="26">
        <f>UE!F6</f>
        <v>3.2533333333333334</v>
      </c>
      <c r="R25" s="26">
        <f>UE!F7</f>
        <v>4.2693110647181625</v>
      </c>
      <c r="S25" s="26">
        <f>UE!F8</f>
        <v>3.97196261682243</v>
      </c>
      <c r="T25" s="26">
        <f>UE!F9</f>
        <v>4.596449704142012</v>
      </c>
      <c r="U25" s="26">
        <f>UE!F10</f>
        <v>4.8567019400352738</v>
      </c>
      <c r="V25" s="26">
        <f>UE!F11</f>
        <v>3.2101694915254235</v>
      </c>
      <c r="W25" s="26">
        <f>UE!F12</f>
        <v>3.5060728744939271</v>
      </c>
      <c r="X25" s="26">
        <f>UE!F13</f>
        <v>3.1892655367231639</v>
      </c>
      <c r="Y25" s="26">
        <f>UE!F14</f>
        <v>4.0781563126252509</v>
      </c>
    </row>
    <row r="26" spans="1:25" x14ac:dyDescent="0.3">
      <c r="A26" t="s">
        <v>55</v>
      </c>
      <c r="L26" s="25">
        <f>UE!D2</f>
        <v>5.1794510907811397E-2</v>
      </c>
      <c r="M26" s="25">
        <f>UE!D3</f>
        <v>0.1304696908871939</v>
      </c>
      <c r="N26" s="25"/>
      <c r="O26" s="25">
        <f>UE!D4</f>
        <v>0.17524339360222532</v>
      </c>
      <c r="P26" s="25">
        <f>UE!D5</f>
        <v>0.35739644970414203</v>
      </c>
      <c r="Q26" s="25">
        <f>UE!D6</f>
        <v>0.26155187445510025</v>
      </c>
      <c r="R26" s="25">
        <f>UE!D7</f>
        <v>5.6699810606060608E-2</v>
      </c>
      <c r="S26" s="25">
        <f>UE!D8</f>
        <v>3.5958328665845189E-2</v>
      </c>
      <c r="T26" s="25">
        <f>UE!D9</f>
        <v>9.1371107266435991E-2</v>
      </c>
      <c r="U26" s="25">
        <f>UE!D10</f>
        <v>0.44942039036956305</v>
      </c>
      <c r="V26" s="25">
        <f>UE!D11</f>
        <v>0.20387007601935039</v>
      </c>
      <c r="W26" s="25">
        <f>UE!D12</f>
        <v>0.28358208955223879</v>
      </c>
      <c r="X26" s="25">
        <f>UE!D13</f>
        <v>0.15831842576028624</v>
      </c>
      <c r="Y26" s="25">
        <f>UE!D14</f>
        <v>0.19266409266409265</v>
      </c>
    </row>
    <row r="27" spans="1:25" x14ac:dyDescent="0.3">
      <c r="A27" s="17" t="s">
        <v>612</v>
      </c>
      <c r="B27" s="17"/>
      <c r="C27" s="17"/>
      <c r="D27" s="17"/>
      <c r="E27" s="17"/>
      <c r="F27" s="17"/>
      <c r="G27" s="17"/>
      <c r="H27" s="17"/>
      <c r="I27" s="17"/>
      <c r="J27" s="17"/>
      <c r="K27" s="17"/>
      <c r="L27" s="17"/>
      <c r="M27" s="17"/>
      <c r="N27" s="17"/>
      <c r="O27" s="17"/>
      <c r="P27" s="17"/>
      <c r="Q27" s="17"/>
      <c r="R27" s="17"/>
      <c r="S27" s="17"/>
      <c r="T27" s="17"/>
      <c r="U27" s="17"/>
      <c r="V27" s="17"/>
      <c r="W27" s="17"/>
      <c r="X27" s="17"/>
      <c r="Y27" s="17"/>
    </row>
    <row r="28" spans="1:25" x14ac:dyDescent="0.3">
      <c r="A28" t="s">
        <v>57</v>
      </c>
      <c r="B28">
        <v>4.12</v>
      </c>
      <c r="C28">
        <v>4.45</v>
      </c>
      <c r="D28">
        <v>4.63</v>
      </c>
      <c r="E28">
        <v>5.03</v>
      </c>
      <c r="F28">
        <v>1.1399999999999999</v>
      </c>
      <c r="G28">
        <v>1.1200000000000001</v>
      </c>
      <c r="H28">
        <v>1.1499999999999999</v>
      </c>
      <c r="I28">
        <v>1.19</v>
      </c>
      <c r="J28">
        <v>4.2300000000000004</v>
      </c>
      <c r="K28">
        <v>4.5599999999999996</v>
      </c>
      <c r="L28">
        <v>4.74</v>
      </c>
      <c r="M28">
        <v>5.19</v>
      </c>
      <c r="N28">
        <v>1.17</v>
      </c>
      <c r="O28">
        <v>1.1599999999999999</v>
      </c>
      <c r="P28">
        <v>1.18</v>
      </c>
      <c r="Q28">
        <v>1.21</v>
      </c>
      <c r="R28">
        <v>4.42</v>
      </c>
      <c r="S28">
        <v>4.74</v>
      </c>
      <c r="T28">
        <v>4.92</v>
      </c>
      <c r="U28">
        <v>5.39</v>
      </c>
      <c r="V28">
        <v>1.2</v>
      </c>
      <c r="W28">
        <v>1.19</v>
      </c>
      <c r="X28">
        <v>1.22</v>
      </c>
      <c r="Y28">
        <v>1.26</v>
      </c>
    </row>
    <row r="29" spans="1:25" x14ac:dyDescent="0.3">
      <c r="A29" t="s">
        <v>58</v>
      </c>
      <c r="B29">
        <v>4272713</v>
      </c>
      <c r="C29">
        <v>5259363</v>
      </c>
      <c r="D29">
        <v>5709270</v>
      </c>
      <c r="E29">
        <v>6475311</v>
      </c>
      <c r="F29">
        <v>666818</v>
      </c>
      <c r="G29">
        <v>730052</v>
      </c>
      <c r="H29">
        <v>741196</v>
      </c>
      <c r="I29">
        <v>706543</v>
      </c>
      <c r="J29">
        <v>4827894</v>
      </c>
      <c r="K29">
        <v>5010832</v>
      </c>
      <c r="L29">
        <v>5735838</v>
      </c>
      <c r="M29">
        <v>7319077</v>
      </c>
      <c r="N29">
        <v>694785</v>
      </c>
      <c r="O29">
        <v>776856</v>
      </c>
      <c r="P29">
        <v>644433</v>
      </c>
      <c r="Q29">
        <v>701257</v>
      </c>
      <c r="R29">
        <v>5114971</v>
      </c>
      <c r="S29">
        <v>5778072</v>
      </c>
      <c r="T29">
        <v>6105759</v>
      </c>
      <c r="U29">
        <v>6736902</v>
      </c>
      <c r="V29">
        <v>664571</v>
      </c>
      <c r="W29">
        <v>738218</v>
      </c>
      <c r="X29">
        <v>707559</v>
      </c>
      <c r="Y29">
        <v>747243</v>
      </c>
    </row>
    <row r="31" spans="1:25" x14ac:dyDescent="0.3">
      <c r="A31" s="5" t="s">
        <v>616</v>
      </c>
      <c r="B31" s="56" t="s">
        <v>182</v>
      </c>
      <c r="C31" s="56"/>
      <c r="D31" s="56"/>
      <c r="E31" s="56"/>
      <c r="F31" s="56" t="s">
        <v>294</v>
      </c>
      <c r="G31" s="56"/>
      <c r="H31" s="56"/>
      <c r="I31" s="56"/>
    </row>
    <row r="32" spans="1:25" x14ac:dyDescent="0.3">
      <c r="A32" s="5" t="s">
        <v>617</v>
      </c>
      <c r="B32" s="62" t="s">
        <v>610</v>
      </c>
      <c r="C32" s="62"/>
      <c r="D32" s="62"/>
      <c r="E32" s="62"/>
      <c r="F32" s="62" t="s">
        <v>613</v>
      </c>
      <c r="G32" s="62"/>
      <c r="H32" s="62"/>
      <c r="I32" s="62"/>
    </row>
    <row r="33" spans="1:9" x14ac:dyDescent="0.3">
      <c r="B33" s="60" t="s">
        <v>611</v>
      </c>
      <c r="C33" s="60"/>
      <c r="D33" s="60"/>
      <c r="E33" s="60"/>
      <c r="F33" s="60" t="s">
        <v>614</v>
      </c>
      <c r="G33" s="60"/>
      <c r="H33" s="60"/>
      <c r="I33" s="60"/>
    </row>
    <row r="35" spans="1:9" x14ac:dyDescent="0.3">
      <c r="A35" s="5" t="s">
        <v>618</v>
      </c>
      <c r="B35" s="60" t="s">
        <v>623</v>
      </c>
      <c r="C35" s="60"/>
      <c r="D35" s="60"/>
      <c r="E35" s="60"/>
      <c r="F35" s="60" t="s">
        <v>622</v>
      </c>
      <c r="G35" s="60"/>
      <c r="H35" s="60"/>
      <c r="I35" s="60"/>
    </row>
    <row r="36" spans="1:9" ht="68.400000000000006" customHeight="1" x14ac:dyDescent="0.3">
      <c r="B36" s="59" t="s">
        <v>619</v>
      </c>
      <c r="C36" s="59"/>
      <c r="D36" s="59"/>
      <c r="E36" s="59"/>
      <c r="F36" s="61" t="s">
        <v>624</v>
      </c>
      <c r="G36" s="61"/>
      <c r="H36" s="61"/>
      <c r="I36" s="61"/>
    </row>
    <row r="37" spans="1:9" ht="30" customHeight="1" x14ac:dyDescent="0.3">
      <c r="B37" s="60" t="s">
        <v>620</v>
      </c>
      <c r="C37" s="60"/>
      <c r="D37" s="60"/>
      <c r="E37" s="60"/>
      <c r="F37" s="58" t="s">
        <v>626</v>
      </c>
      <c r="G37" s="58"/>
      <c r="H37" s="58"/>
      <c r="I37" s="58"/>
    </row>
    <row r="38" spans="1:9" x14ac:dyDescent="0.3">
      <c r="B38" s="60" t="s">
        <v>621</v>
      </c>
      <c r="C38" s="60"/>
      <c r="D38" s="60"/>
      <c r="E38" s="60"/>
      <c r="F38" s="58" t="s">
        <v>625</v>
      </c>
      <c r="G38" s="58"/>
      <c r="H38" s="58"/>
      <c r="I38" s="58"/>
    </row>
    <row r="39" spans="1:9" ht="27" customHeight="1" x14ac:dyDescent="0.3">
      <c r="B39" s="58" t="s">
        <v>615</v>
      </c>
      <c r="C39" s="58"/>
      <c r="D39" s="58"/>
      <c r="E39" s="58"/>
      <c r="F39" s="58"/>
      <c r="G39" s="58"/>
      <c r="H39" s="58"/>
      <c r="I39" s="58"/>
    </row>
  </sheetData>
  <mergeCells count="45">
    <mergeCell ref="V21:Y21"/>
    <mergeCell ref="V20:Y20"/>
    <mergeCell ref="V19:Y19"/>
    <mergeCell ref="V18:Y18"/>
    <mergeCell ref="R18:U18"/>
    <mergeCell ref="R19:U19"/>
    <mergeCell ref="R20:U20"/>
    <mergeCell ref="R21:U21"/>
    <mergeCell ref="J18:M18"/>
    <mergeCell ref="J19:M19"/>
    <mergeCell ref="J20:M20"/>
    <mergeCell ref="J21:M21"/>
    <mergeCell ref="N18:Q18"/>
    <mergeCell ref="N19:Q19"/>
    <mergeCell ref="N20:Q20"/>
    <mergeCell ref="N21:Q21"/>
    <mergeCell ref="B18:E18"/>
    <mergeCell ref="B19:E19"/>
    <mergeCell ref="B20:E20"/>
    <mergeCell ref="B21:E21"/>
    <mergeCell ref="F18:I18"/>
    <mergeCell ref="F19:I19"/>
    <mergeCell ref="F20:I20"/>
    <mergeCell ref="F21:I21"/>
    <mergeCell ref="V1:Y1"/>
    <mergeCell ref="J1:M1"/>
    <mergeCell ref="B1:E1"/>
    <mergeCell ref="N1:Q1"/>
    <mergeCell ref="F1:I1"/>
    <mergeCell ref="R1:U1"/>
    <mergeCell ref="B32:E32"/>
    <mergeCell ref="F32:I32"/>
    <mergeCell ref="B31:E31"/>
    <mergeCell ref="F31:I31"/>
    <mergeCell ref="B35:E35"/>
    <mergeCell ref="B33:E33"/>
    <mergeCell ref="F33:I33"/>
    <mergeCell ref="B39:E39"/>
    <mergeCell ref="F37:I37"/>
    <mergeCell ref="F38:I39"/>
    <mergeCell ref="B36:E36"/>
    <mergeCell ref="F35:I35"/>
    <mergeCell ref="F36:I36"/>
    <mergeCell ref="B37:E37"/>
    <mergeCell ref="B38:E38"/>
  </mergeCells>
  <hyperlinks>
    <hyperlink ref="B32" r:id="rId1" xr:uid="{DE038F5C-C65C-4133-A19A-410AD4C7F967}"/>
    <hyperlink ref="F32" r:id="rId2" xr:uid="{CA7668C4-E338-4704-A0D8-B5E97C60104E}"/>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83ED2-A642-45A8-884F-D49659D67077}">
  <sheetPr>
    <tabColor rgb="FFFFC000"/>
  </sheetPr>
  <dimension ref="A1:N56"/>
  <sheetViews>
    <sheetView showOutlineSymbols="0" workbookViewId="0">
      <selection activeCell="L18" sqref="L18"/>
    </sheetView>
  </sheetViews>
  <sheetFormatPr defaultRowHeight="14.4" x14ac:dyDescent="0.3"/>
  <cols>
    <col min="2" max="2" width="9.5546875" customWidth="1"/>
    <col min="3" max="3" width="16.44140625" customWidth="1"/>
    <col min="4" max="4" width="15.88671875" customWidth="1"/>
    <col min="5" max="6" width="15.33203125" customWidth="1"/>
    <col min="17" max="17" width="5" bestFit="1" customWidth="1"/>
    <col min="18" max="18" width="3" bestFit="1" customWidth="1"/>
  </cols>
  <sheetData>
    <row r="1" spans="1:6" x14ac:dyDescent="0.3">
      <c r="A1" s="5" t="s">
        <v>389</v>
      </c>
      <c r="B1" s="5" t="s">
        <v>60</v>
      </c>
      <c r="C1" s="5" t="s">
        <v>390</v>
      </c>
      <c r="D1" s="5" t="s">
        <v>391</v>
      </c>
      <c r="E1" s="5" t="s">
        <v>392</v>
      </c>
      <c r="F1" s="5" t="s">
        <v>393</v>
      </c>
    </row>
    <row r="2" spans="1:6" ht="38.25" customHeight="1" x14ac:dyDescent="0.3">
      <c r="A2" t="s">
        <v>1</v>
      </c>
      <c r="B2" t="s">
        <v>10</v>
      </c>
      <c r="C2">
        <v>368</v>
      </c>
      <c r="D2">
        <f>368 / 7105</f>
        <v>5.1794510907811397E-2</v>
      </c>
      <c r="E2">
        <f>(31 + 262) / C2</f>
        <v>0.79619565217391308</v>
      </c>
      <c r="F2">
        <f>1580 / C2</f>
        <v>4.2934782608695654</v>
      </c>
    </row>
    <row r="3" spans="1:6" ht="38.25" customHeight="1" x14ac:dyDescent="0.3">
      <c r="A3" t="s">
        <v>1</v>
      </c>
      <c r="B3" t="s">
        <v>11</v>
      </c>
      <c r="C3">
        <v>975</v>
      </c>
      <c r="D3">
        <f>975 / 7473</f>
        <v>0.1304696908871939</v>
      </c>
      <c r="E3">
        <f>(69 + 775) / C3</f>
        <v>0.86564102564102563</v>
      </c>
      <c r="F3">
        <f>4363 / C3</f>
        <v>4.4748717948717944</v>
      </c>
    </row>
    <row r="4" spans="1:6" x14ac:dyDescent="0.3">
      <c r="A4" t="s">
        <v>2</v>
      </c>
      <c r="B4" t="s">
        <v>9</v>
      </c>
      <c r="C4">
        <v>126</v>
      </c>
      <c r="D4">
        <f>126 / 719</f>
        <v>0.17524339360222532</v>
      </c>
      <c r="E4">
        <f>(5 + 103) / C4</f>
        <v>0.8571428571428571</v>
      </c>
      <c r="F4">
        <f>560 / C4</f>
        <v>4.4444444444444446</v>
      </c>
    </row>
    <row r="5" spans="1:6" ht="38.25" customHeight="1" x14ac:dyDescent="0.3">
      <c r="A5" t="s">
        <v>2</v>
      </c>
      <c r="B5" t="s">
        <v>10</v>
      </c>
      <c r="C5">
        <v>302</v>
      </c>
      <c r="D5">
        <f>302 / 845</f>
        <v>0.35739644970414203</v>
      </c>
      <c r="E5">
        <f>(-16 + 155) / C5</f>
        <v>0.46026490066225167</v>
      </c>
      <c r="F5">
        <f>992 / C5</f>
        <v>3.2847682119205297</v>
      </c>
    </row>
    <row r="6" spans="1:6" x14ac:dyDescent="0.3">
      <c r="A6" t="s">
        <v>2</v>
      </c>
      <c r="B6" t="s">
        <v>11</v>
      </c>
      <c r="C6">
        <v>300</v>
      </c>
      <c r="D6">
        <f>300 / 1147</f>
        <v>0.26155187445510025</v>
      </c>
      <c r="E6">
        <f>(105 + 56) / C6</f>
        <v>0.53666666666666663</v>
      </c>
      <c r="F6">
        <f>976 / C6</f>
        <v>3.2533333333333334</v>
      </c>
    </row>
    <row r="7" spans="1:6" ht="38.25" customHeight="1" x14ac:dyDescent="0.3">
      <c r="A7" t="s">
        <v>1</v>
      </c>
      <c r="B7" t="s">
        <v>12</v>
      </c>
      <c r="C7">
        <f>merged!R23</f>
        <v>479</v>
      </c>
      <c r="D7">
        <f>479 / 8448</f>
        <v>5.6699810606060608E-2</v>
      </c>
      <c r="E7">
        <f>(37 + 345) / C7</f>
        <v>0.79749478079331937</v>
      </c>
      <c r="F7">
        <f>2045 / C7</f>
        <v>4.2693110647181625</v>
      </c>
    </row>
    <row r="8" spans="1:6" ht="38.25" customHeight="1" x14ac:dyDescent="0.3">
      <c r="A8" t="s">
        <v>1</v>
      </c>
      <c r="B8" t="s">
        <v>13</v>
      </c>
      <c r="C8">
        <v>321</v>
      </c>
      <c r="D8">
        <f>321 / 8927</f>
        <v>3.5958328665845189E-2</v>
      </c>
      <c r="E8">
        <f>(26 + 205) /C8</f>
        <v>0.71962616822429903</v>
      </c>
      <c r="F8">
        <f>1275 /C8</f>
        <v>3.97196261682243</v>
      </c>
    </row>
    <row r="9" spans="1:6" ht="38.25" customHeight="1" x14ac:dyDescent="0.3">
      <c r="A9" t="s">
        <v>1</v>
      </c>
      <c r="B9" t="s">
        <v>14</v>
      </c>
      <c r="C9">
        <v>845</v>
      </c>
      <c r="D9">
        <f>845 / 9248</f>
        <v>9.1371107266435991E-2</v>
      </c>
      <c r="E9">
        <f>(43 + 715) / C9</f>
        <v>0.8970414201183432</v>
      </c>
      <c r="F9">
        <f>3884 / C9</f>
        <v>4.596449704142012</v>
      </c>
    </row>
    <row r="10" spans="1:6" x14ac:dyDescent="0.3">
      <c r="A10" t="s">
        <v>1</v>
      </c>
      <c r="B10" t="s">
        <v>15</v>
      </c>
      <c r="C10">
        <v>4536</v>
      </c>
      <c r="D10">
        <f>4536 / 10093</f>
        <v>0.44942039036956305</v>
      </c>
      <c r="E10">
        <f>(107 + 4261) / C10</f>
        <v>0.96296296296296291</v>
      </c>
      <c r="F10">
        <f>22030 / C10</f>
        <v>4.8567019400352738</v>
      </c>
    </row>
    <row r="11" spans="1:6" x14ac:dyDescent="0.3">
      <c r="A11" t="s">
        <v>2</v>
      </c>
      <c r="B11" t="s">
        <v>12</v>
      </c>
      <c r="C11">
        <v>295</v>
      </c>
      <c r="D11">
        <f>295 / 1447</f>
        <v>0.20387007601935039</v>
      </c>
      <c r="E11">
        <f>(87 + 79) / C11</f>
        <v>0.56271186440677967</v>
      </c>
      <c r="F11">
        <f>947 / C11</f>
        <v>3.2101694915254235</v>
      </c>
    </row>
    <row r="12" spans="1:6" ht="38.25" customHeight="1" x14ac:dyDescent="0.3">
      <c r="A12" t="s">
        <v>2</v>
      </c>
      <c r="B12" t="s">
        <v>13</v>
      </c>
      <c r="C12">
        <v>494</v>
      </c>
      <c r="D12">
        <f>494 / 1742</f>
        <v>0.28358208955223879</v>
      </c>
      <c r="E12">
        <f>(58 + 262) / C12</f>
        <v>0.64777327935222673</v>
      </c>
      <c r="F12">
        <f>1732 / C12</f>
        <v>3.5060728744939271</v>
      </c>
    </row>
    <row r="13" spans="1:6" x14ac:dyDescent="0.3">
      <c r="A13" t="s">
        <v>2</v>
      </c>
      <c r="B13" t="s">
        <v>14</v>
      </c>
      <c r="C13">
        <v>354</v>
      </c>
      <c r="D13">
        <f>354 / 2236</f>
        <v>0.15831842576028624</v>
      </c>
      <c r="E13">
        <f>(121 + 84) / C13</f>
        <v>0.57909604519774016</v>
      </c>
      <c r="F13">
        <f>1129 / C13</f>
        <v>3.1892655367231639</v>
      </c>
    </row>
    <row r="14" spans="1:6" x14ac:dyDescent="0.3">
      <c r="A14" t="s">
        <v>2</v>
      </c>
      <c r="B14" t="s">
        <v>15</v>
      </c>
      <c r="C14">
        <v>499</v>
      </c>
      <c r="D14">
        <f>499 / 2590</f>
        <v>0.19266409266409265</v>
      </c>
      <c r="E14">
        <f>(-2 + 294) / C14</f>
        <v>0.58517034068136276</v>
      </c>
      <c r="F14">
        <f>2035 / C14</f>
        <v>4.0781563126252509</v>
      </c>
    </row>
    <row r="15" spans="1:6" x14ac:dyDescent="0.3">
      <c r="A15" s="63"/>
      <c r="B15" s="63"/>
      <c r="C15" s="63"/>
      <c r="D15" s="63"/>
      <c r="E15" s="63"/>
      <c r="F15" s="63"/>
    </row>
    <row r="18" spans="1:14" x14ac:dyDescent="0.3">
      <c r="A18" s="5" t="s">
        <v>627</v>
      </c>
    </row>
    <row r="19" spans="1:14" x14ac:dyDescent="0.3">
      <c r="A19" t="s">
        <v>628</v>
      </c>
    </row>
    <row r="21" spans="1:14" x14ac:dyDescent="0.3">
      <c r="D21" s="12"/>
      <c r="E21" s="12"/>
      <c r="F21" s="14"/>
      <c r="G21" s="12"/>
      <c r="H21" s="12"/>
      <c r="I21" s="12"/>
    </row>
    <row r="22" spans="1:14" x14ac:dyDescent="0.3">
      <c r="D22" s="3"/>
      <c r="E22" s="3"/>
      <c r="F22" s="13"/>
      <c r="G22" s="3"/>
      <c r="H22" s="3"/>
      <c r="I22" s="3"/>
    </row>
    <row r="23" spans="1:14" x14ac:dyDescent="0.3">
      <c r="D23" s="3"/>
      <c r="E23" s="3"/>
      <c r="F23" s="13"/>
      <c r="G23" s="3"/>
      <c r="H23" s="3"/>
      <c r="I23" s="3"/>
    </row>
    <row r="24" spans="1:14" x14ac:dyDescent="0.3">
      <c r="D24" s="3"/>
      <c r="E24" s="3"/>
      <c r="F24" s="13"/>
      <c r="G24" s="3"/>
      <c r="H24" s="3"/>
      <c r="I24" s="3"/>
    </row>
    <row r="25" spans="1:14" x14ac:dyDescent="0.3">
      <c r="D25" s="3"/>
      <c r="E25" s="3"/>
      <c r="F25" s="13"/>
      <c r="G25" s="3"/>
      <c r="H25" s="3"/>
      <c r="I25" s="3"/>
    </row>
    <row r="26" spans="1:14" x14ac:dyDescent="0.3">
      <c r="D26" s="3"/>
      <c r="E26" s="3"/>
      <c r="F26" s="13"/>
      <c r="G26" s="3"/>
      <c r="H26" s="3"/>
      <c r="I26" s="3"/>
    </row>
    <row r="27" spans="1:14" x14ac:dyDescent="0.3">
      <c r="D27" s="3"/>
      <c r="E27" s="3"/>
      <c r="F27" s="13"/>
      <c r="G27" s="3"/>
      <c r="H27" s="3"/>
      <c r="I27" s="3"/>
    </row>
    <row r="28" spans="1:14" x14ac:dyDescent="0.3">
      <c r="D28" s="3"/>
      <c r="E28" s="3"/>
      <c r="F28" s="13"/>
      <c r="G28" s="3"/>
      <c r="H28" s="3"/>
      <c r="I28" s="3"/>
    </row>
    <row r="29" spans="1:14" x14ac:dyDescent="0.3">
      <c r="D29" s="3"/>
      <c r="E29" s="3"/>
      <c r="F29" s="13"/>
      <c r="G29" s="3"/>
      <c r="H29" s="3"/>
      <c r="I29" s="3"/>
    </row>
    <row r="30" spans="1:14" x14ac:dyDescent="0.3">
      <c r="D30" s="3"/>
      <c r="E30" s="3"/>
      <c r="F30" s="13"/>
      <c r="G30" s="3"/>
      <c r="H30" s="3"/>
      <c r="I30" s="3"/>
    </row>
    <row r="31" spans="1:14" x14ac:dyDescent="0.3">
      <c r="D31" s="3"/>
      <c r="E31" s="3"/>
      <c r="F31" s="13"/>
      <c r="G31" s="3"/>
      <c r="H31" s="3"/>
      <c r="I31" s="3"/>
    </row>
    <row r="32" spans="1:14" x14ac:dyDescent="0.3">
      <c r="D32" s="3"/>
      <c r="E32" s="3"/>
      <c r="F32" s="13"/>
      <c r="G32" s="3"/>
      <c r="H32" s="3"/>
      <c r="I32" s="3"/>
      <c r="J32" s="12"/>
      <c r="K32" s="12"/>
      <c r="L32" s="14"/>
      <c r="M32" s="14"/>
      <c r="N32" s="14"/>
    </row>
    <row r="33" spans="4:14" x14ac:dyDescent="0.3">
      <c r="D33" s="3"/>
      <c r="E33" s="3"/>
      <c r="F33" s="13"/>
      <c r="G33" s="3"/>
      <c r="H33" s="3"/>
      <c r="I33" s="3"/>
      <c r="J33" s="3"/>
      <c r="K33" s="3"/>
      <c r="L33" s="13"/>
      <c r="M33" s="13"/>
      <c r="N33" s="13"/>
    </row>
    <row r="34" spans="4:14" x14ac:dyDescent="0.3">
      <c r="D34" s="3"/>
      <c r="E34" s="3"/>
      <c r="F34" s="13"/>
      <c r="G34" s="3"/>
      <c r="H34" s="3"/>
      <c r="I34" s="3"/>
      <c r="J34" s="3"/>
      <c r="K34" s="3"/>
      <c r="L34" s="13"/>
      <c r="M34" s="13"/>
      <c r="N34" s="13"/>
    </row>
    <row r="35" spans="4:14" x14ac:dyDescent="0.3">
      <c r="J35" s="3"/>
      <c r="K35" s="3"/>
      <c r="L35" s="13"/>
      <c r="M35" s="13"/>
      <c r="N35" s="13"/>
    </row>
    <row r="36" spans="4:14" x14ac:dyDescent="0.3">
      <c r="J36" s="3"/>
      <c r="K36" s="3"/>
      <c r="L36" s="13"/>
      <c r="M36" s="13"/>
      <c r="N36" s="13"/>
    </row>
    <row r="37" spans="4:14" x14ac:dyDescent="0.3">
      <c r="J37" s="3"/>
      <c r="K37" s="3"/>
      <c r="L37" s="13"/>
      <c r="M37" s="13"/>
      <c r="N37" s="13"/>
    </row>
    <row r="38" spans="4:14" x14ac:dyDescent="0.3">
      <c r="J38" s="3"/>
      <c r="K38" s="3"/>
      <c r="L38" s="13"/>
      <c r="M38" s="13"/>
      <c r="N38" s="13"/>
    </row>
    <row r="39" spans="4:14" x14ac:dyDescent="0.3">
      <c r="J39" s="3"/>
      <c r="K39" s="3"/>
      <c r="L39" s="13"/>
      <c r="M39" s="13"/>
      <c r="N39" s="13"/>
    </row>
    <row r="40" spans="4:14" x14ac:dyDescent="0.3">
      <c r="J40" s="3"/>
      <c r="K40" s="3"/>
      <c r="L40" s="13"/>
      <c r="M40" s="13"/>
      <c r="N40" s="13"/>
    </row>
    <row r="41" spans="4:14" x14ac:dyDescent="0.3">
      <c r="J41" s="3"/>
      <c r="K41" s="3"/>
      <c r="L41" s="13"/>
      <c r="M41" s="13"/>
      <c r="N41" s="13"/>
    </row>
    <row r="42" spans="4:14" x14ac:dyDescent="0.3">
      <c r="J42" s="3"/>
      <c r="K42" s="3"/>
      <c r="L42" s="13"/>
      <c r="M42" s="13"/>
      <c r="N42" s="13"/>
    </row>
    <row r="43" spans="4:14" x14ac:dyDescent="0.3">
      <c r="J43" s="3"/>
      <c r="K43" s="3"/>
      <c r="L43" s="13"/>
      <c r="M43" s="13"/>
      <c r="N43" s="13"/>
    </row>
    <row r="44" spans="4:14" x14ac:dyDescent="0.3">
      <c r="J44" s="3"/>
      <c r="K44" s="3"/>
      <c r="L44" s="13"/>
      <c r="M44" s="13"/>
      <c r="N44" s="13"/>
    </row>
    <row r="45" spans="4:14" x14ac:dyDescent="0.3">
      <c r="J45" s="3"/>
      <c r="K45" s="3"/>
      <c r="L45" s="13"/>
      <c r="M45" s="13"/>
      <c r="N45" s="13"/>
    </row>
    <row r="46" spans="4:14" x14ac:dyDescent="0.3">
      <c r="J46" s="3"/>
      <c r="K46" s="3"/>
      <c r="L46" s="13"/>
      <c r="M46" s="13"/>
      <c r="N46" s="13"/>
    </row>
    <row r="47" spans="4:14" x14ac:dyDescent="0.3">
      <c r="J47" s="3"/>
      <c r="K47" s="3"/>
      <c r="L47" s="13"/>
      <c r="M47" s="13"/>
      <c r="N47" s="13"/>
    </row>
    <row r="48" spans="4:14" x14ac:dyDescent="0.3">
      <c r="J48" s="3"/>
      <c r="K48" s="3"/>
      <c r="L48" s="13"/>
      <c r="M48" s="13"/>
      <c r="N48" s="13"/>
    </row>
    <row r="49" spans="10:14" x14ac:dyDescent="0.3">
      <c r="J49" s="3"/>
      <c r="K49" s="3"/>
      <c r="L49" s="13"/>
      <c r="M49" s="13"/>
      <c r="N49" s="13"/>
    </row>
    <row r="50" spans="10:14" x14ac:dyDescent="0.3">
      <c r="J50" s="3"/>
      <c r="K50" s="3"/>
      <c r="L50" s="13"/>
      <c r="M50" s="13"/>
      <c r="N50" s="13"/>
    </row>
    <row r="51" spans="10:14" x14ac:dyDescent="0.3">
      <c r="J51" s="3"/>
      <c r="K51" s="3"/>
      <c r="L51" s="13"/>
      <c r="M51" s="13"/>
      <c r="N51" s="13"/>
    </row>
    <row r="52" spans="10:14" x14ac:dyDescent="0.3">
      <c r="J52" s="3"/>
      <c r="K52" s="3"/>
      <c r="L52" s="13"/>
      <c r="M52" s="13"/>
      <c r="N52" s="13"/>
    </row>
    <row r="53" spans="10:14" x14ac:dyDescent="0.3">
      <c r="J53" s="3"/>
      <c r="K53" s="3"/>
      <c r="L53" s="13"/>
      <c r="M53" s="13"/>
      <c r="N53" s="13"/>
    </row>
    <row r="54" spans="10:14" x14ac:dyDescent="0.3">
      <c r="J54" s="3"/>
      <c r="K54" s="3"/>
      <c r="L54" s="13"/>
      <c r="M54" s="13"/>
      <c r="N54" s="13"/>
    </row>
    <row r="55" spans="10:14" x14ac:dyDescent="0.3">
      <c r="J55" s="3"/>
      <c r="K55" s="3"/>
      <c r="L55" s="13"/>
      <c r="M55" s="13"/>
      <c r="N55" s="13"/>
    </row>
    <row r="56" spans="10:14" x14ac:dyDescent="0.3">
      <c r="J56" s="3"/>
      <c r="K56" s="3"/>
      <c r="L56" s="13"/>
      <c r="M56" s="13"/>
      <c r="N56" s="13"/>
    </row>
  </sheetData>
  <mergeCells count="1">
    <mergeCell ref="A15:F15"/>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58F6C-35CC-4C6E-B2BA-262AFBF541EB}">
  <sheetPr>
    <tabColor rgb="FFFFC000"/>
  </sheetPr>
  <dimension ref="A1:Q64"/>
  <sheetViews>
    <sheetView tabSelected="1" showOutlineSymbols="0" topLeftCell="D10" workbookViewId="0">
      <selection activeCell="H18" sqref="H18"/>
    </sheetView>
  </sheetViews>
  <sheetFormatPr defaultRowHeight="14.4" x14ac:dyDescent="0.3"/>
  <cols>
    <col min="1" max="1" width="9.44140625" customWidth="1"/>
    <col min="2" max="2" width="20.21875" bestFit="1" customWidth="1"/>
    <col min="3" max="3" width="15.5546875" customWidth="1"/>
    <col min="4" max="4" width="26.6640625" bestFit="1" customWidth="1"/>
    <col min="5" max="5" width="14.33203125" bestFit="1" customWidth="1"/>
    <col min="6" max="6" width="21.109375" bestFit="1" customWidth="1"/>
    <col min="7" max="7" width="10.77734375" customWidth="1"/>
    <col min="8" max="8" width="60.6640625" bestFit="1" customWidth="1"/>
  </cols>
  <sheetData>
    <row r="1" spans="1:10" x14ac:dyDescent="0.3">
      <c r="A1" s="56" t="s">
        <v>1</v>
      </c>
      <c r="B1" s="56"/>
      <c r="C1" s="56"/>
      <c r="D1" s="56"/>
      <c r="E1" s="56"/>
      <c r="F1" s="56"/>
    </row>
    <row r="2" spans="1:10" x14ac:dyDescent="0.3">
      <c r="A2" t="s">
        <v>60</v>
      </c>
      <c r="B2" t="s">
        <v>497</v>
      </c>
      <c r="C2" t="s">
        <v>510</v>
      </c>
      <c r="D2" t="s">
        <v>56</v>
      </c>
      <c r="E2" t="s">
        <v>394</v>
      </c>
      <c r="F2" t="s">
        <v>395</v>
      </c>
      <c r="H2" s="5" t="s">
        <v>103</v>
      </c>
    </row>
    <row r="3" spans="1:10" x14ac:dyDescent="0.3">
      <c r="A3" t="s">
        <v>4</v>
      </c>
      <c r="B3" s="28" t="s">
        <v>540</v>
      </c>
      <c r="C3" t="s">
        <v>498</v>
      </c>
      <c r="D3" s="5" t="s">
        <v>541</v>
      </c>
      <c r="E3" s="5">
        <v>2</v>
      </c>
      <c r="F3" s="5" t="s">
        <v>511</v>
      </c>
      <c r="H3" s="27" t="s">
        <v>516</v>
      </c>
      <c r="J3" t="s">
        <v>551</v>
      </c>
    </row>
    <row r="4" spans="1:10" x14ac:dyDescent="0.3">
      <c r="A4" t="s">
        <v>5</v>
      </c>
      <c r="B4" s="28" t="s">
        <v>545</v>
      </c>
      <c r="C4" t="s">
        <v>499</v>
      </c>
      <c r="D4" s="5" t="s">
        <v>546</v>
      </c>
      <c r="E4" s="5">
        <v>2</v>
      </c>
      <c r="F4" s="5" t="s">
        <v>544</v>
      </c>
      <c r="H4" s="15" t="s">
        <v>513</v>
      </c>
    </row>
    <row r="5" spans="1:10" x14ac:dyDescent="0.3">
      <c r="A5" t="s">
        <v>6</v>
      </c>
      <c r="B5" s="28" t="s">
        <v>542</v>
      </c>
      <c r="C5" t="s">
        <v>500</v>
      </c>
      <c r="D5" s="5" t="s">
        <v>543</v>
      </c>
      <c r="E5" s="5">
        <v>2</v>
      </c>
      <c r="F5" s="5" t="s">
        <v>544</v>
      </c>
      <c r="H5" s="15" t="s">
        <v>512</v>
      </c>
      <c r="J5" t="s">
        <v>520</v>
      </c>
    </row>
    <row r="6" spans="1:10" x14ac:dyDescent="0.3">
      <c r="A6" t="s">
        <v>7</v>
      </c>
      <c r="B6" s="28" t="s">
        <v>548</v>
      </c>
      <c r="C6" t="s">
        <v>501</v>
      </c>
      <c r="D6" s="5" t="s">
        <v>543</v>
      </c>
      <c r="E6" s="5">
        <v>2</v>
      </c>
      <c r="F6" s="5" t="s">
        <v>544</v>
      </c>
      <c r="H6" s="15" t="s">
        <v>514</v>
      </c>
      <c r="J6" t="s">
        <v>521</v>
      </c>
    </row>
    <row r="7" spans="1:10" x14ac:dyDescent="0.3">
      <c r="A7" t="s">
        <v>8</v>
      </c>
      <c r="B7" s="5">
        <v>132.398</v>
      </c>
      <c r="C7" t="s">
        <v>502</v>
      </c>
      <c r="D7" s="5" t="s">
        <v>532</v>
      </c>
      <c r="E7" s="5">
        <v>3</v>
      </c>
      <c r="F7" s="5" t="s">
        <v>536</v>
      </c>
      <c r="H7" s="16" t="s">
        <v>515</v>
      </c>
      <c r="J7" t="s">
        <v>522</v>
      </c>
    </row>
    <row r="8" spans="1:10" x14ac:dyDescent="0.3">
      <c r="A8" t="s">
        <v>9</v>
      </c>
      <c r="B8" s="28" t="s">
        <v>535</v>
      </c>
      <c r="C8" t="s">
        <v>503</v>
      </c>
      <c r="D8" s="5" t="s">
        <v>534</v>
      </c>
      <c r="E8" s="5">
        <v>3</v>
      </c>
      <c r="F8" s="5" t="s">
        <v>536</v>
      </c>
      <c r="H8" s="30" t="s">
        <v>549</v>
      </c>
      <c r="J8" t="s">
        <v>523</v>
      </c>
    </row>
    <row r="9" spans="1:10" x14ac:dyDescent="0.3">
      <c r="A9" t="s">
        <v>10</v>
      </c>
      <c r="B9" s="5">
        <v>182.44200000000001</v>
      </c>
      <c r="C9" t="s">
        <v>504</v>
      </c>
      <c r="D9" s="5" t="s">
        <v>537</v>
      </c>
      <c r="E9" s="5">
        <v>3</v>
      </c>
      <c r="F9" s="5" t="s">
        <v>536</v>
      </c>
      <c r="H9" s="15" t="s">
        <v>517</v>
      </c>
      <c r="J9" t="s">
        <v>524</v>
      </c>
    </row>
    <row r="10" spans="1:10" x14ac:dyDescent="0.3">
      <c r="A10" t="s">
        <v>11</v>
      </c>
      <c r="B10" s="5">
        <v>196.90199999999999</v>
      </c>
      <c r="C10" t="s">
        <v>505</v>
      </c>
      <c r="D10" s="5" t="s">
        <v>538</v>
      </c>
      <c r="E10" s="5">
        <v>4</v>
      </c>
      <c r="F10" s="5" t="s">
        <v>539</v>
      </c>
      <c r="H10" s="15" t="s">
        <v>518</v>
      </c>
      <c r="J10" t="s">
        <v>525</v>
      </c>
    </row>
    <row r="11" spans="1:10" x14ac:dyDescent="0.3">
      <c r="A11" t="s">
        <v>12</v>
      </c>
      <c r="B11" s="5">
        <v>134.607</v>
      </c>
      <c r="C11" t="s">
        <v>506</v>
      </c>
      <c r="D11" s="5" t="s">
        <v>533</v>
      </c>
      <c r="E11" s="5">
        <v>5</v>
      </c>
      <c r="F11" s="5" t="s">
        <v>528</v>
      </c>
      <c r="H11" s="16" t="s">
        <v>519</v>
      </c>
    </row>
    <row r="12" spans="1:10" x14ac:dyDescent="0.3">
      <c r="A12" t="s">
        <v>13</v>
      </c>
      <c r="B12" s="5">
        <v>128.803</v>
      </c>
      <c r="C12" t="s">
        <v>507</v>
      </c>
      <c r="D12" s="5" t="s">
        <v>531</v>
      </c>
      <c r="E12" s="5">
        <v>5</v>
      </c>
      <c r="F12" s="5" t="s">
        <v>528</v>
      </c>
      <c r="J12" t="s">
        <v>526</v>
      </c>
    </row>
    <row r="13" spans="1:10" x14ac:dyDescent="0.3">
      <c r="A13" t="s">
        <v>14</v>
      </c>
      <c r="B13" s="5">
        <v>169.29400000000001</v>
      </c>
      <c r="C13" t="s">
        <v>508</v>
      </c>
      <c r="D13" s="5" t="s">
        <v>529</v>
      </c>
      <c r="E13" s="5">
        <v>5</v>
      </c>
      <c r="F13" s="5" t="s">
        <v>528</v>
      </c>
      <c r="J13" t="s">
        <v>547</v>
      </c>
    </row>
    <row r="14" spans="1:10" x14ac:dyDescent="0.3">
      <c r="A14" t="s">
        <v>15</v>
      </c>
      <c r="B14" s="5">
        <v>192.994</v>
      </c>
      <c r="C14" t="s">
        <v>509</v>
      </c>
      <c r="D14" s="5" t="s">
        <v>530</v>
      </c>
      <c r="E14" s="5">
        <v>6</v>
      </c>
      <c r="F14" s="5" t="s">
        <v>527</v>
      </c>
    </row>
    <row r="16" spans="1:10" x14ac:dyDescent="0.3">
      <c r="B16" t="s">
        <v>550</v>
      </c>
    </row>
    <row r="21" spans="1:17" ht="18" customHeight="1" x14ac:dyDescent="0.3">
      <c r="A21" s="56">
        <v>2023</v>
      </c>
      <c r="B21" s="56"/>
      <c r="C21" s="56"/>
      <c r="D21" s="56"/>
      <c r="E21" s="56"/>
      <c r="F21" s="56"/>
      <c r="G21" s="56"/>
      <c r="H21" s="56"/>
      <c r="I21" s="56"/>
      <c r="J21" s="56"/>
      <c r="K21" s="56"/>
      <c r="L21" s="56"/>
    </row>
    <row r="22" spans="1:17" ht="43.2" x14ac:dyDescent="0.3">
      <c r="A22" s="12" t="s">
        <v>552</v>
      </c>
      <c r="B22" s="12" t="s">
        <v>3</v>
      </c>
      <c r="C22" s="12" t="s">
        <v>553</v>
      </c>
      <c r="D22" s="12" t="s">
        <v>554</v>
      </c>
      <c r="E22" s="31" t="s">
        <v>555</v>
      </c>
      <c r="F22" s="12" t="s">
        <v>556</v>
      </c>
      <c r="G22" s="12" t="s">
        <v>554</v>
      </c>
      <c r="H22" s="12" t="s">
        <v>555</v>
      </c>
      <c r="I22" s="32" t="s">
        <v>557</v>
      </c>
      <c r="J22" s="32" t="s">
        <v>558</v>
      </c>
      <c r="K22" s="12" t="s">
        <v>559</v>
      </c>
      <c r="L22" s="31" t="s">
        <v>560</v>
      </c>
      <c r="O22" s="74" t="s">
        <v>737</v>
      </c>
      <c r="P22" s="74"/>
      <c r="Q22" s="74"/>
    </row>
    <row r="23" spans="1:17" x14ac:dyDescent="0.3">
      <c r="A23" s="3" t="s">
        <v>561</v>
      </c>
      <c r="B23" s="3" t="s">
        <v>562</v>
      </c>
      <c r="C23" s="33">
        <v>50</v>
      </c>
      <c r="D23" s="33">
        <v>50</v>
      </c>
      <c r="E23" s="17"/>
      <c r="F23">
        <v>18136</v>
      </c>
      <c r="G23">
        <v>18136</v>
      </c>
      <c r="H23" s="29"/>
      <c r="I23" s="34"/>
      <c r="J23" s="35"/>
      <c r="L23" s="36"/>
      <c r="O23" s="74"/>
      <c r="P23" s="74"/>
      <c r="Q23" s="74"/>
    </row>
    <row r="24" spans="1:17" x14ac:dyDescent="0.3">
      <c r="A24" s="3" t="s">
        <v>563</v>
      </c>
      <c r="B24" s="3" t="s">
        <v>564</v>
      </c>
      <c r="C24" s="33">
        <v>57</v>
      </c>
      <c r="D24" s="29">
        <f>C24-C23</f>
        <v>7</v>
      </c>
      <c r="E24" s="17"/>
      <c r="F24">
        <v>50611</v>
      </c>
      <c r="G24" s="29">
        <f>F24-F23</f>
        <v>32475</v>
      </c>
      <c r="H24" s="29"/>
      <c r="I24" s="34"/>
      <c r="J24" s="35"/>
      <c r="L24" s="36"/>
      <c r="O24" s="74"/>
      <c r="P24" s="74"/>
      <c r="Q24" s="74"/>
    </row>
    <row r="25" spans="1:17" x14ac:dyDescent="0.3">
      <c r="A25" s="3" t="s">
        <v>565</v>
      </c>
      <c r="B25" s="3" t="s">
        <v>566</v>
      </c>
      <c r="C25" s="33">
        <v>64</v>
      </c>
      <c r="D25" s="29">
        <f>C25-C24</f>
        <v>7</v>
      </c>
      <c r="E25" s="35">
        <f>D23+D24+D25</f>
        <v>64</v>
      </c>
      <c r="F25">
        <v>94736</v>
      </c>
      <c r="G25" s="29">
        <f t="shared" ref="G25:G34" si="0">F25-F24</f>
        <v>44125</v>
      </c>
      <c r="H25" s="37">
        <f>G23+G24+G25</f>
        <v>94736</v>
      </c>
      <c r="I25" s="34">
        <f>E25/H25</f>
        <v>6.7556156054720488E-4</v>
      </c>
      <c r="J25" s="35">
        <v>28</v>
      </c>
      <c r="K25">
        <v>35</v>
      </c>
      <c r="L25" s="38">
        <f>1-(J25-1)/(K25-1)</f>
        <v>0.20588235294117652</v>
      </c>
      <c r="O25" s="74"/>
      <c r="P25" s="74"/>
      <c r="Q25" s="74"/>
    </row>
    <row r="26" spans="1:17" x14ac:dyDescent="0.3">
      <c r="A26" s="3" t="s">
        <v>567</v>
      </c>
      <c r="B26" s="3" t="s">
        <v>568</v>
      </c>
      <c r="C26" s="33">
        <v>107</v>
      </c>
      <c r="D26" s="29">
        <f>C26-C25</f>
        <v>43</v>
      </c>
      <c r="E26" s="17"/>
      <c r="F26">
        <v>124476</v>
      </c>
      <c r="G26" s="29">
        <f t="shared" si="0"/>
        <v>29740</v>
      </c>
      <c r="H26" s="29"/>
      <c r="I26" s="34"/>
      <c r="J26" s="35"/>
      <c r="L26" s="38"/>
      <c r="O26" s="74"/>
      <c r="P26" s="74"/>
      <c r="Q26" s="74"/>
    </row>
    <row r="27" spans="1:17" x14ac:dyDescent="0.3">
      <c r="A27" s="3" t="s">
        <v>569</v>
      </c>
      <c r="B27" s="3" t="s">
        <v>570</v>
      </c>
      <c r="C27" s="33">
        <v>161</v>
      </c>
      <c r="D27" s="29">
        <f t="shared" ref="D27:D34" si="1">C27-C26</f>
        <v>54</v>
      </c>
      <c r="E27" s="17"/>
      <c r="F27">
        <v>167256</v>
      </c>
      <c r="G27" s="29">
        <f t="shared" si="0"/>
        <v>42780</v>
      </c>
      <c r="H27" s="29"/>
      <c r="I27" s="34"/>
      <c r="J27" s="35"/>
      <c r="L27" s="38"/>
      <c r="O27" s="74"/>
      <c r="P27" s="74"/>
      <c r="Q27" s="74"/>
    </row>
    <row r="28" spans="1:17" x14ac:dyDescent="0.3">
      <c r="A28" s="3" t="s">
        <v>571</v>
      </c>
      <c r="B28" s="3" t="s">
        <v>572</v>
      </c>
      <c r="C28" s="33">
        <v>224</v>
      </c>
      <c r="D28" s="29">
        <f t="shared" si="1"/>
        <v>63</v>
      </c>
      <c r="E28" s="35">
        <f>D26+D27+D28</f>
        <v>160</v>
      </c>
      <c r="F28">
        <v>220244</v>
      </c>
      <c r="G28" s="29">
        <f t="shared" si="0"/>
        <v>52988</v>
      </c>
      <c r="H28" s="37">
        <f>G26+G27+G28</f>
        <v>125508</v>
      </c>
      <c r="I28" s="34">
        <f>E28/H28</f>
        <v>1.2748191350352169E-3</v>
      </c>
      <c r="J28" s="35">
        <v>26</v>
      </c>
      <c r="K28">
        <v>37</v>
      </c>
      <c r="L28" s="38">
        <f>1-(J28-1)/(K28-1)</f>
        <v>0.30555555555555558</v>
      </c>
      <c r="O28" s="74"/>
      <c r="P28" s="74"/>
      <c r="Q28" s="74"/>
    </row>
    <row r="29" spans="1:17" x14ac:dyDescent="0.3">
      <c r="A29" s="3" t="s">
        <v>573</v>
      </c>
      <c r="B29" s="3" t="s">
        <v>574</v>
      </c>
      <c r="C29" s="33">
        <v>628</v>
      </c>
      <c r="D29" s="29">
        <f t="shared" si="1"/>
        <v>404</v>
      </c>
      <c r="E29" s="17"/>
      <c r="F29">
        <v>268926</v>
      </c>
      <c r="G29" s="29">
        <f t="shared" si="0"/>
        <v>48682</v>
      </c>
      <c r="H29" s="29"/>
      <c r="I29" s="34"/>
      <c r="J29" s="35"/>
      <c r="L29" s="38"/>
    </row>
    <row r="30" spans="1:17" x14ac:dyDescent="0.3">
      <c r="A30" s="3" t="s">
        <v>575</v>
      </c>
      <c r="B30" s="3" t="s">
        <v>576</v>
      </c>
      <c r="C30" s="33">
        <v>2662</v>
      </c>
      <c r="D30" s="29">
        <f t="shared" si="1"/>
        <v>2034</v>
      </c>
      <c r="E30" s="17"/>
      <c r="F30">
        <v>355575</v>
      </c>
      <c r="G30" s="29">
        <f t="shared" si="0"/>
        <v>86649</v>
      </c>
      <c r="H30" s="29"/>
      <c r="I30" s="34"/>
      <c r="J30" s="35"/>
      <c r="L30" s="38"/>
    </row>
    <row r="31" spans="1:17" x14ac:dyDescent="0.3">
      <c r="A31" s="3" t="s">
        <v>577</v>
      </c>
      <c r="B31" s="3" t="s">
        <v>578</v>
      </c>
      <c r="C31" s="33">
        <v>2858</v>
      </c>
      <c r="D31" s="29">
        <f t="shared" si="1"/>
        <v>196</v>
      </c>
      <c r="E31" s="35">
        <f>D29+D30+D31</f>
        <v>2634</v>
      </c>
      <c r="F31">
        <v>387289</v>
      </c>
      <c r="G31" s="29">
        <f t="shared" si="0"/>
        <v>31714</v>
      </c>
      <c r="H31" s="37">
        <f>G29+G30+G31</f>
        <v>167045</v>
      </c>
      <c r="I31" s="34">
        <f>E31/H31</f>
        <v>1.5768206171989582E-2</v>
      </c>
      <c r="J31" s="35">
        <v>18</v>
      </c>
      <c r="K31">
        <v>41</v>
      </c>
      <c r="L31" s="38">
        <f>1-(J31-1)/(K31-1)</f>
        <v>0.57499999999999996</v>
      </c>
    </row>
    <row r="32" spans="1:17" x14ac:dyDescent="0.3">
      <c r="A32" s="3" t="s">
        <v>579</v>
      </c>
      <c r="B32" s="3" t="s">
        <v>580</v>
      </c>
      <c r="C32" s="33">
        <v>3084</v>
      </c>
      <c r="D32" s="29">
        <f t="shared" si="1"/>
        <v>226</v>
      </c>
      <c r="E32" s="17"/>
      <c r="F32">
        <v>424623</v>
      </c>
      <c r="G32" s="29">
        <f t="shared" si="0"/>
        <v>37334</v>
      </c>
      <c r="H32" s="29"/>
      <c r="I32" s="34"/>
      <c r="J32" s="35"/>
      <c r="L32" s="38"/>
    </row>
    <row r="33" spans="1:12" x14ac:dyDescent="0.3">
      <c r="A33" s="3" t="s">
        <v>581</v>
      </c>
      <c r="B33" s="3" t="s">
        <v>582</v>
      </c>
      <c r="C33" s="33">
        <v>3434</v>
      </c>
      <c r="D33" s="29">
        <f t="shared" si="1"/>
        <v>350</v>
      </c>
      <c r="E33" s="17"/>
      <c r="F33">
        <v>469565</v>
      </c>
      <c r="G33" s="29">
        <f t="shared" si="0"/>
        <v>44942</v>
      </c>
      <c r="H33" s="29"/>
      <c r="I33" s="34"/>
      <c r="J33" s="35"/>
      <c r="L33" s="38"/>
    </row>
    <row r="34" spans="1:12" x14ac:dyDescent="0.3">
      <c r="A34" s="3" t="s">
        <v>583</v>
      </c>
      <c r="B34" s="3" t="s">
        <v>584</v>
      </c>
      <c r="C34" s="33">
        <v>4135</v>
      </c>
      <c r="D34" s="29">
        <f t="shared" si="1"/>
        <v>701</v>
      </c>
      <c r="E34" s="35">
        <f>D32+D33+D34</f>
        <v>1277</v>
      </c>
      <c r="F34">
        <v>524219</v>
      </c>
      <c r="G34" s="29">
        <f t="shared" si="0"/>
        <v>54654</v>
      </c>
      <c r="H34" s="37">
        <f>G32+G33+G34</f>
        <v>136930</v>
      </c>
      <c r="I34" s="34">
        <f>E34/H34</f>
        <v>9.3259329584459219E-3</v>
      </c>
      <c r="J34" s="35">
        <v>16</v>
      </c>
      <c r="K34">
        <v>44</v>
      </c>
      <c r="L34" s="38">
        <f>1-(J34-1)/(K34-1)</f>
        <v>0.65116279069767447</v>
      </c>
    </row>
    <row r="36" spans="1:12" x14ac:dyDescent="0.3">
      <c r="A36" s="56">
        <v>2024</v>
      </c>
      <c r="B36" s="56"/>
      <c r="C36" s="56"/>
      <c r="D36" s="56"/>
      <c r="E36" s="56"/>
      <c r="F36" s="56"/>
      <c r="G36" s="56"/>
      <c r="H36" s="56"/>
      <c r="I36" s="56"/>
      <c r="J36" s="56"/>
      <c r="K36" s="56"/>
      <c r="L36" s="56"/>
    </row>
    <row r="37" spans="1:12" ht="43.2" x14ac:dyDescent="0.3">
      <c r="A37" s="12" t="s">
        <v>552</v>
      </c>
      <c r="B37" s="12" t="s">
        <v>3</v>
      </c>
      <c r="C37" s="12" t="s">
        <v>553</v>
      </c>
      <c r="D37" s="12" t="s">
        <v>554</v>
      </c>
      <c r="E37" s="31" t="s">
        <v>555</v>
      </c>
      <c r="F37" s="12" t="s">
        <v>556</v>
      </c>
      <c r="G37" s="12" t="s">
        <v>554</v>
      </c>
      <c r="H37" s="12" t="s">
        <v>555</v>
      </c>
      <c r="I37" s="32" t="s">
        <v>557</v>
      </c>
      <c r="J37" s="32" t="s">
        <v>558</v>
      </c>
      <c r="K37" s="12" t="s">
        <v>559</v>
      </c>
      <c r="L37" s="31" t="s">
        <v>560</v>
      </c>
    </row>
    <row r="38" spans="1:12" x14ac:dyDescent="0.3">
      <c r="A38" s="3" t="s">
        <v>561</v>
      </c>
      <c r="B38" s="3" t="s">
        <v>585</v>
      </c>
      <c r="C38" s="33">
        <v>139</v>
      </c>
      <c r="D38" s="33">
        <v>139</v>
      </c>
      <c r="E38" s="17"/>
      <c r="F38">
        <v>22474</v>
      </c>
      <c r="G38">
        <v>22474</v>
      </c>
      <c r="H38" s="29"/>
      <c r="I38" s="34"/>
      <c r="J38" s="35"/>
      <c r="L38" s="36" t="s">
        <v>586</v>
      </c>
    </row>
    <row r="39" spans="1:12" x14ac:dyDescent="0.3">
      <c r="A39" s="3" t="s">
        <v>563</v>
      </c>
      <c r="B39" s="3" t="s">
        <v>587</v>
      </c>
      <c r="C39" s="33">
        <v>233</v>
      </c>
      <c r="D39" s="29">
        <f>C39-C38</f>
        <v>94</v>
      </c>
      <c r="E39" s="17"/>
      <c r="F39">
        <v>49953</v>
      </c>
      <c r="G39" s="29">
        <f>F39-F38</f>
        <v>27479</v>
      </c>
      <c r="H39" s="29"/>
      <c r="I39" s="34"/>
      <c r="J39" s="35"/>
      <c r="L39" s="36"/>
    </row>
    <row r="40" spans="1:12" x14ac:dyDescent="0.3">
      <c r="A40" s="3" t="s">
        <v>565</v>
      </c>
      <c r="B40" s="3" t="s">
        <v>588</v>
      </c>
      <c r="C40" s="33">
        <v>393</v>
      </c>
      <c r="D40" s="29">
        <f>C40-C39</f>
        <v>160</v>
      </c>
      <c r="E40" s="35">
        <f>D38+D39+D40</f>
        <v>393</v>
      </c>
      <c r="F40">
        <v>81337</v>
      </c>
      <c r="G40" s="29">
        <f t="shared" ref="G40:G49" si="2">F40-F39</f>
        <v>31384</v>
      </c>
      <c r="H40" s="37">
        <f>G38+G39+G40</f>
        <v>81337</v>
      </c>
      <c r="I40" s="34">
        <f>E40/H40</f>
        <v>4.8317493883472465E-3</v>
      </c>
      <c r="J40" s="35">
        <v>27</v>
      </c>
      <c r="K40">
        <v>38</v>
      </c>
      <c r="L40" s="38">
        <f>1-(J40-1)/(K40-1)</f>
        <v>0.29729729729729726</v>
      </c>
    </row>
    <row r="41" spans="1:12" x14ac:dyDescent="0.3">
      <c r="A41" s="3" t="s">
        <v>567</v>
      </c>
      <c r="B41" s="3" t="s">
        <v>589</v>
      </c>
      <c r="C41" s="33">
        <v>576</v>
      </c>
      <c r="D41" s="29">
        <f>C41-C40</f>
        <v>183</v>
      </c>
      <c r="E41" s="17"/>
      <c r="F41">
        <v>111005</v>
      </c>
      <c r="G41" s="29">
        <f t="shared" si="2"/>
        <v>29668</v>
      </c>
      <c r="H41" s="29"/>
      <c r="I41" s="34"/>
      <c r="J41" s="35"/>
      <c r="L41" s="38"/>
    </row>
    <row r="42" spans="1:12" x14ac:dyDescent="0.3">
      <c r="A42" s="3" t="s">
        <v>569</v>
      </c>
      <c r="B42" s="3" t="s">
        <v>590</v>
      </c>
      <c r="C42" s="33">
        <v>776</v>
      </c>
      <c r="D42" s="29">
        <f t="shared" ref="D42:D48" si="3">C42-C41</f>
        <v>200</v>
      </c>
      <c r="E42" s="17"/>
      <c r="F42">
        <v>140713</v>
      </c>
      <c r="G42" s="29">
        <f t="shared" si="2"/>
        <v>29708</v>
      </c>
      <c r="H42" s="29"/>
      <c r="I42" s="34"/>
      <c r="J42" s="35"/>
      <c r="L42" s="38"/>
    </row>
    <row r="43" spans="1:12" x14ac:dyDescent="0.3">
      <c r="A43" s="3" t="s">
        <v>571</v>
      </c>
      <c r="B43" s="3" t="s">
        <v>591</v>
      </c>
      <c r="C43" s="33">
        <v>1165</v>
      </c>
      <c r="D43" s="29">
        <f t="shared" si="3"/>
        <v>389</v>
      </c>
      <c r="E43" s="35">
        <f>D41+D42+D43</f>
        <v>772</v>
      </c>
      <c r="F43">
        <v>184125</v>
      </c>
      <c r="G43" s="29">
        <f t="shared" si="2"/>
        <v>43412</v>
      </c>
      <c r="H43" s="37">
        <f>G41+G42+G43</f>
        <v>102788</v>
      </c>
      <c r="I43" s="34">
        <f>E43/H43</f>
        <v>7.5106043507024165E-3</v>
      </c>
      <c r="J43" s="35">
        <v>24</v>
      </c>
      <c r="K43">
        <v>41</v>
      </c>
      <c r="L43" s="38">
        <f>1-(J43-1)/(K43-1)</f>
        <v>0.42500000000000004</v>
      </c>
    </row>
    <row r="44" spans="1:12" x14ac:dyDescent="0.3">
      <c r="A44" s="3" t="s">
        <v>573</v>
      </c>
      <c r="B44" s="3" t="s">
        <v>592</v>
      </c>
      <c r="C44" s="33">
        <v>1386</v>
      </c>
      <c r="D44" s="29">
        <f t="shared" si="3"/>
        <v>221</v>
      </c>
      <c r="E44" s="17"/>
      <c r="F44">
        <v>214887</v>
      </c>
      <c r="G44" s="29">
        <f t="shared" si="2"/>
        <v>30762</v>
      </c>
      <c r="H44" s="29"/>
      <c r="I44" s="34"/>
      <c r="J44" s="35"/>
      <c r="L44" s="38"/>
    </row>
    <row r="45" spans="1:12" x14ac:dyDescent="0.3">
      <c r="A45" s="3" t="s">
        <v>575</v>
      </c>
      <c r="B45" s="3" t="s">
        <v>593</v>
      </c>
      <c r="C45" s="33">
        <v>1586</v>
      </c>
      <c r="D45" s="29">
        <f t="shared" si="3"/>
        <v>200</v>
      </c>
      <c r="E45" s="17"/>
      <c r="F45">
        <v>241911</v>
      </c>
      <c r="G45" s="29">
        <f t="shared" si="2"/>
        <v>27024</v>
      </c>
      <c r="H45" s="29"/>
      <c r="I45" s="34"/>
      <c r="J45" s="35"/>
      <c r="L45" s="38"/>
    </row>
    <row r="46" spans="1:12" x14ac:dyDescent="0.3">
      <c r="A46" s="3" t="s">
        <v>577</v>
      </c>
      <c r="B46" s="3" t="s">
        <v>594</v>
      </c>
      <c r="C46" s="33">
        <v>1723</v>
      </c>
      <c r="D46" s="29">
        <f t="shared" si="3"/>
        <v>137</v>
      </c>
      <c r="E46" s="35">
        <f>D44+D45+D46</f>
        <v>558</v>
      </c>
      <c r="F46">
        <v>276390</v>
      </c>
      <c r="G46" s="29">
        <f t="shared" si="2"/>
        <v>34479</v>
      </c>
      <c r="H46" s="37">
        <f>G44+G45+G46</f>
        <v>92265</v>
      </c>
      <c r="I46" s="34">
        <f>E46/H46</f>
        <v>6.0477971061616001E-3</v>
      </c>
      <c r="J46" s="35">
        <v>21</v>
      </c>
      <c r="K46">
        <v>42</v>
      </c>
      <c r="L46" s="38">
        <f>1-(J46-1)/(K46-1)</f>
        <v>0.51219512195121952</v>
      </c>
    </row>
    <row r="47" spans="1:12" x14ac:dyDescent="0.3">
      <c r="A47" s="3" t="s">
        <v>579</v>
      </c>
      <c r="B47" s="3" t="s">
        <v>595</v>
      </c>
      <c r="C47" s="33">
        <v>2066</v>
      </c>
      <c r="D47" s="29">
        <f t="shared" si="3"/>
        <v>343</v>
      </c>
      <c r="E47" s="17"/>
      <c r="F47">
        <v>311881</v>
      </c>
      <c r="G47" s="29">
        <f t="shared" si="2"/>
        <v>35491</v>
      </c>
      <c r="H47" s="29"/>
      <c r="I47" s="34"/>
      <c r="J47" s="35"/>
      <c r="L47" s="38"/>
    </row>
    <row r="48" spans="1:12" x14ac:dyDescent="0.3">
      <c r="A48" s="3" t="s">
        <v>581</v>
      </c>
      <c r="B48" s="3" t="s">
        <v>596</v>
      </c>
      <c r="C48" s="33">
        <v>2472</v>
      </c>
      <c r="D48" s="29">
        <f t="shared" si="3"/>
        <v>406</v>
      </c>
      <c r="E48" s="17"/>
      <c r="F48">
        <v>347048</v>
      </c>
      <c r="G48" s="29">
        <f t="shared" si="2"/>
        <v>35167</v>
      </c>
      <c r="H48" s="29"/>
      <c r="I48" s="34"/>
      <c r="J48" s="35"/>
      <c r="L48" s="38"/>
    </row>
    <row r="49" spans="1:12" x14ac:dyDescent="0.3">
      <c r="A49" s="3" t="s">
        <v>583</v>
      </c>
      <c r="B49" s="3" t="s">
        <v>597</v>
      </c>
      <c r="C49" s="33">
        <v>2781</v>
      </c>
      <c r="D49" s="29">
        <f>C49-C48</f>
        <v>309</v>
      </c>
      <c r="E49" s="35">
        <f>D47+D48+D49</f>
        <v>1058</v>
      </c>
      <c r="F49">
        <v>380609</v>
      </c>
      <c r="G49" s="29">
        <f t="shared" si="2"/>
        <v>33561</v>
      </c>
      <c r="H49" s="37">
        <f>G47+G48+G49</f>
        <v>104219</v>
      </c>
      <c r="I49" s="34">
        <f>E49/H49</f>
        <v>1.01516997860275E-2</v>
      </c>
      <c r="J49" s="35">
        <v>19</v>
      </c>
      <c r="K49">
        <v>44</v>
      </c>
      <c r="L49" s="38">
        <f>1-(J49-1)/(K49-1)</f>
        <v>0.58139534883720922</v>
      </c>
    </row>
    <row r="51" spans="1:12" x14ac:dyDescent="0.3">
      <c r="A51" s="56">
        <v>2025</v>
      </c>
      <c r="B51" s="56"/>
      <c r="C51" s="56"/>
      <c r="D51" s="56"/>
      <c r="E51" s="56"/>
      <c r="F51" s="56"/>
      <c r="G51" s="56"/>
      <c r="H51" s="56"/>
      <c r="I51" s="56"/>
      <c r="J51" s="56"/>
      <c r="K51" s="56"/>
      <c r="L51" s="56"/>
    </row>
    <row r="52" spans="1:12" ht="43.2" x14ac:dyDescent="0.3">
      <c r="A52" s="12" t="s">
        <v>552</v>
      </c>
      <c r="B52" s="12" t="s">
        <v>3</v>
      </c>
      <c r="C52" s="12" t="s">
        <v>553</v>
      </c>
      <c r="D52" s="12" t="s">
        <v>554</v>
      </c>
      <c r="E52" s="31" t="s">
        <v>555</v>
      </c>
      <c r="F52" s="12" t="s">
        <v>556</v>
      </c>
      <c r="G52" s="12" t="s">
        <v>554</v>
      </c>
      <c r="H52" s="12" t="s">
        <v>555</v>
      </c>
      <c r="I52" s="32" t="s">
        <v>557</v>
      </c>
      <c r="J52" s="32" t="s">
        <v>558</v>
      </c>
      <c r="K52" s="12" t="s">
        <v>559</v>
      </c>
      <c r="L52" s="31" t="s">
        <v>560</v>
      </c>
    </row>
    <row r="53" spans="1:12" x14ac:dyDescent="0.3">
      <c r="A53" s="3" t="s">
        <v>561</v>
      </c>
      <c r="B53" s="3" t="s">
        <v>598</v>
      </c>
      <c r="C53" s="33">
        <v>204</v>
      </c>
      <c r="D53" s="33">
        <v>204</v>
      </c>
      <c r="E53" s="17"/>
      <c r="F53">
        <v>34498</v>
      </c>
      <c r="G53">
        <v>34498</v>
      </c>
      <c r="H53" s="29"/>
      <c r="I53" s="34"/>
      <c r="J53" s="35"/>
      <c r="L53" s="36"/>
    </row>
    <row r="54" spans="1:12" x14ac:dyDescent="0.3">
      <c r="A54" s="3" t="s">
        <v>563</v>
      </c>
      <c r="B54" s="3" t="s">
        <v>599</v>
      </c>
      <c r="C54" s="33">
        <v>364</v>
      </c>
      <c r="D54" s="29">
        <f>C54-C53</f>
        <v>160</v>
      </c>
      <c r="E54" s="17"/>
      <c r="F54">
        <v>70447</v>
      </c>
      <c r="G54" s="29">
        <f>F54-F53</f>
        <v>35949</v>
      </c>
      <c r="H54" s="29"/>
      <c r="I54" s="34"/>
      <c r="J54" s="35"/>
      <c r="L54" s="36"/>
    </row>
    <row r="55" spans="1:12" x14ac:dyDescent="0.3">
      <c r="A55" s="3" t="s">
        <v>565</v>
      </c>
      <c r="B55" s="3" t="s">
        <v>600</v>
      </c>
      <c r="C55" s="33">
        <v>979</v>
      </c>
      <c r="D55" s="29">
        <f>C55-C54</f>
        <v>615</v>
      </c>
      <c r="E55" s="35">
        <f>D53+D54+D55</f>
        <v>979</v>
      </c>
      <c r="F55">
        <v>112968</v>
      </c>
      <c r="G55" s="29">
        <f t="shared" ref="G55:G64" si="4">F55-F54</f>
        <v>42521</v>
      </c>
      <c r="H55" s="37">
        <f>G53+G54+G55</f>
        <v>112968</v>
      </c>
      <c r="I55" s="34">
        <f>E55/H55</f>
        <v>8.6661709510657877E-3</v>
      </c>
      <c r="J55" s="35">
        <v>16</v>
      </c>
      <c r="K55">
        <v>40</v>
      </c>
      <c r="L55" s="38">
        <f>1-(J55-1)/(K55-1)</f>
        <v>0.61538461538461542</v>
      </c>
    </row>
    <row r="56" spans="1:12" x14ac:dyDescent="0.3">
      <c r="A56" s="3" t="s">
        <v>567</v>
      </c>
      <c r="B56" s="3" t="s">
        <v>601</v>
      </c>
      <c r="C56" s="33">
        <v>2028</v>
      </c>
      <c r="D56" s="29">
        <f>C56-C55</f>
        <v>1049</v>
      </c>
      <c r="E56" s="17"/>
      <c r="F56">
        <v>158503</v>
      </c>
      <c r="G56" s="29">
        <f t="shared" si="4"/>
        <v>45535</v>
      </c>
      <c r="H56" s="29"/>
      <c r="I56" s="34"/>
      <c r="J56" s="35"/>
      <c r="L56" s="38"/>
    </row>
    <row r="57" spans="1:12" x14ac:dyDescent="0.3">
      <c r="A57" s="3" t="s">
        <v>569</v>
      </c>
      <c r="B57" s="3" t="s">
        <v>602</v>
      </c>
      <c r="C57" s="33">
        <v>3251</v>
      </c>
      <c r="D57" s="29">
        <f t="shared" ref="D57:D64" si="5">C57-C56</f>
        <v>1223</v>
      </c>
      <c r="E57" s="17"/>
      <c r="F57">
        <v>201563</v>
      </c>
      <c r="G57" s="29">
        <f t="shared" si="4"/>
        <v>43060</v>
      </c>
      <c r="H57" s="29"/>
      <c r="I57" s="34"/>
      <c r="J57" s="35"/>
      <c r="L57" s="38"/>
    </row>
    <row r="58" spans="1:12" x14ac:dyDescent="0.3">
      <c r="A58" s="3" t="s">
        <v>571</v>
      </c>
      <c r="B58" s="3" t="s">
        <v>603</v>
      </c>
      <c r="C58" s="33">
        <v>4544</v>
      </c>
      <c r="D58" s="29">
        <f t="shared" si="5"/>
        <v>1293</v>
      </c>
      <c r="E58" s="35">
        <f>D56+D57+D58</f>
        <v>3565</v>
      </c>
      <c r="F58">
        <v>248726</v>
      </c>
      <c r="G58" s="29">
        <f t="shared" si="4"/>
        <v>47163</v>
      </c>
      <c r="H58" s="37">
        <f>G56+G57+G58</f>
        <v>135758</v>
      </c>
      <c r="I58" s="34">
        <f>E58/H58</f>
        <v>2.625996258047408E-2</v>
      </c>
      <c r="J58" s="35">
        <v>14</v>
      </c>
      <c r="K58">
        <v>43</v>
      </c>
      <c r="L58" s="38">
        <f>1-(J58-1)/(K58-1)</f>
        <v>0.69047619047619047</v>
      </c>
    </row>
    <row r="59" spans="1:12" x14ac:dyDescent="0.3">
      <c r="A59" s="3" t="s">
        <v>573</v>
      </c>
      <c r="B59" s="3" t="s">
        <v>604</v>
      </c>
      <c r="C59" s="33">
        <v>5125</v>
      </c>
      <c r="D59" s="29">
        <f t="shared" si="5"/>
        <v>581</v>
      </c>
      <c r="E59" s="17"/>
      <c r="F59">
        <v>297340</v>
      </c>
      <c r="G59" s="29">
        <f t="shared" si="4"/>
        <v>48614</v>
      </c>
      <c r="H59" s="29"/>
      <c r="I59" s="34"/>
      <c r="J59" s="35"/>
      <c r="L59" s="38"/>
    </row>
    <row r="60" spans="1:12" x14ac:dyDescent="0.3">
      <c r="A60" s="3" t="s">
        <v>575</v>
      </c>
      <c r="B60" s="3" t="s">
        <v>605</v>
      </c>
      <c r="C60" s="33">
        <v>5809</v>
      </c>
      <c r="D60" s="29">
        <f t="shared" si="5"/>
        <v>684</v>
      </c>
      <c r="E60" s="17"/>
      <c r="F60">
        <v>336707</v>
      </c>
      <c r="G60" s="29">
        <f t="shared" si="4"/>
        <v>39367</v>
      </c>
      <c r="H60" s="29"/>
      <c r="I60" s="34"/>
      <c r="J60" s="35"/>
      <c r="L60" s="38"/>
    </row>
    <row r="61" spans="1:12" x14ac:dyDescent="0.3">
      <c r="A61" s="3" t="s">
        <v>577</v>
      </c>
      <c r="B61" s="3" t="s">
        <v>606</v>
      </c>
      <c r="C61" s="33">
        <v>7146</v>
      </c>
      <c r="D61" s="29">
        <f t="shared" si="5"/>
        <v>1337</v>
      </c>
      <c r="E61" s="35">
        <f>D59+D60+D61</f>
        <v>2602</v>
      </c>
      <c r="F61">
        <v>382202</v>
      </c>
      <c r="G61" s="29">
        <f t="shared" si="4"/>
        <v>45495</v>
      </c>
      <c r="H61" s="37">
        <f>G59+G60+G61</f>
        <v>133476</v>
      </c>
      <c r="I61" s="34">
        <f>E61/H61</f>
        <v>1.949414126884234E-2</v>
      </c>
      <c r="J61" s="35">
        <v>12</v>
      </c>
      <c r="K61">
        <v>45</v>
      </c>
      <c r="L61" s="38">
        <f>1-(J61-1)/(K61-1)</f>
        <v>0.75</v>
      </c>
    </row>
    <row r="62" spans="1:12" x14ac:dyDescent="0.3">
      <c r="A62" s="3" t="s">
        <v>579</v>
      </c>
      <c r="B62" s="3" t="s">
        <v>607</v>
      </c>
      <c r="C62" s="33">
        <v>7770</v>
      </c>
      <c r="D62" s="29">
        <f t="shared" si="5"/>
        <v>624</v>
      </c>
      <c r="E62" s="17"/>
      <c r="F62">
        <v>434627</v>
      </c>
      <c r="G62" s="29">
        <f t="shared" si="4"/>
        <v>52425</v>
      </c>
      <c r="H62" s="29"/>
      <c r="I62" s="34"/>
      <c r="J62" s="35"/>
      <c r="L62" s="38"/>
    </row>
    <row r="63" spans="1:12" x14ac:dyDescent="0.3">
      <c r="A63" s="3" t="s">
        <v>581</v>
      </c>
      <c r="B63" s="3" t="s">
        <v>608</v>
      </c>
      <c r="C63" s="33">
        <v>8949</v>
      </c>
      <c r="D63" s="29">
        <f t="shared" si="5"/>
        <v>1179</v>
      </c>
      <c r="E63" s="17"/>
      <c r="F63">
        <v>490368</v>
      </c>
      <c r="G63" s="29">
        <f t="shared" si="4"/>
        <v>55741</v>
      </c>
      <c r="H63" s="29"/>
      <c r="I63" s="34"/>
      <c r="J63" s="35"/>
      <c r="L63" s="38"/>
    </row>
    <row r="64" spans="1:12" x14ac:dyDescent="0.3">
      <c r="A64" s="3" t="s">
        <v>583</v>
      </c>
      <c r="B64" s="3" t="s">
        <v>609</v>
      </c>
      <c r="C64" s="33">
        <v>11167</v>
      </c>
      <c r="D64" s="29">
        <f t="shared" si="5"/>
        <v>2218</v>
      </c>
      <c r="E64" s="35">
        <f>D62+D63+D64</f>
        <v>4021</v>
      </c>
      <c r="F64">
        <v>545142</v>
      </c>
      <c r="G64" s="29">
        <f t="shared" si="4"/>
        <v>54774</v>
      </c>
      <c r="H64" s="37">
        <f>G62+G63+G64</f>
        <v>162940</v>
      </c>
      <c r="I64" s="34">
        <f>E64/H64</f>
        <v>2.467779550754879E-2</v>
      </c>
      <c r="J64" s="35">
        <v>10</v>
      </c>
      <c r="K64">
        <v>47</v>
      </c>
      <c r="L64" s="38">
        <f>1-(J64-1)/(K64-1)</f>
        <v>0.80434782608695654</v>
      </c>
    </row>
  </sheetData>
  <mergeCells count="5">
    <mergeCell ref="A1:F1"/>
    <mergeCell ref="O22:Q28"/>
    <mergeCell ref="A21:L21"/>
    <mergeCell ref="A36:L36"/>
    <mergeCell ref="A51:L51"/>
  </mergeCells>
  <phoneticPr fontId="9" type="noConversion"/>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F7"/>
  <sheetViews>
    <sheetView showOutlineSymbols="0" workbookViewId="0">
      <selection activeCell="K6" sqref="K6"/>
    </sheetView>
  </sheetViews>
  <sheetFormatPr defaultRowHeight="14.4" x14ac:dyDescent="0.3"/>
  <cols>
    <col min="1" max="1" width="10.77734375" customWidth="1"/>
    <col min="2" max="2" width="9.21875" customWidth="1"/>
    <col min="3" max="3" width="21.33203125" style="8" customWidth="1"/>
    <col min="4" max="4" width="35.77734375" style="8" bestFit="1" customWidth="1"/>
    <col min="5" max="5" width="30.44140625" bestFit="1" customWidth="1"/>
    <col min="6" max="6" width="11.6640625" customWidth="1"/>
  </cols>
  <sheetData>
    <row r="1" spans="1:6" x14ac:dyDescent="0.3">
      <c r="A1" t="s">
        <v>0</v>
      </c>
      <c r="B1" t="s">
        <v>60</v>
      </c>
      <c r="C1" s="8" t="s">
        <v>67</v>
      </c>
      <c r="D1" s="8" t="s">
        <v>61</v>
      </c>
      <c r="E1" t="s">
        <v>63</v>
      </c>
      <c r="F1" t="s">
        <v>65</v>
      </c>
    </row>
    <row r="2" spans="1:6" ht="36" customHeight="1" x14ac:dyDescent="0.3">
      <c r="A2" t="s">
        <v>1</v>
      </c>
      <c r="B2" t="s">
        <v>4</v>
      </c>
      <c r="C2" s="8" t="s">
        <v>62</v>
      </c>
      <c r="D2" s="8">
        <v>2</v>
      </c>
      <c r="E2">
        <v>0</v>
      </c>
      <c r="F2">
        <v>1</v>
      </c>
    </row>
    <row r="3" spans="1:6" ht="36" customHeight="1" x14ac:dyDescent="0.3">
      <c r="A3" t="s">
        <v>1</v>
      </c>
      <c r="B3" t="s">
        <v>11</v>
      </c>
      <c r="C3" s="8" t="s">
        <v>64</v>
      </c>
      <c r="D3" s="8">
        <v>0</v>
      </c>
      <c r="E3">
        <v>0</v>
      </c>
      <c r="F3">
        <v>1</v>
      </c>
    </row>
    <row r="4" spans="1:6" ht="72" customHeight="1" x14ac:dyDescent="0.3">
      <c r="A4" t="s">
        <v>1</v>
      </c>
      <c r="B4" t="s">
        <v>12</v>
      </c>
      <c r="C4" s="8" t="s">
        <v>68</v>
      </c>
      <c r="D4" s="8">
        <v>1</v>
      </c>
      <c r="E4">
        <v>0</v>
      </c>
      <c r="F4">
        <v>1</v>
      </c>
    </row>
    <row r="5" spans="1:6" ht="72" customHeight="1" x14ac:dyDescent="0.3">
      <c r="A5" t="s">
        <v>2</v>
      </c>
      <c r="B5" t="s">
        <v>4</v>
      </c>
      <c r="C5" s="8" t="s">
        <v>69</v>
      </c>
      <c r="D5" s="8">
        <v>3</v>
      </c>
      <c r="E5">
        <v>1</v>
      </c>
      <c r="F5">
        <v>3</v>
      </c>
    </row>
    <row r="6" spans="1:6" ht="36" customHeight="1" x14ac:dyDescent="0.3">
      <c r="A6" t="s">
        <v>2</v>
      </c>
      <c r="B6" t="s">
        <v>8</v>
      </c>
      <c r="C6" s="8" t="s">
        <v>70</v>
      </c>
      <c r="D6" s="8">
        <v>0</v>
      </c>
      <c r="E6">
        <v>0</v>
      </c>
      <c r="F6">
        <v>1</v>
      </c>
    </row>
    <row r="7" spans="1:6" ht="54" customHeight="1" x14ac:dyDescent="0.3">
      <c r="A7" t="s">
        <v>2</v>
      </c>
      <c r="B7" t="s">
        <v>12</v>
      </c>
      <c r="C7" s="8" t="s">
        <v>66</v>
      </c>
      <c r="D7" s="8">
        <v>0</v>
      </c>
      <c r="E7">
        <v>0</v>
      </c>
      <c r="F7">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F7"/>
  <sheetViews>
    <sheetView showOutlineSymbols="0" workbookViewId="0">
      <selection activeCell="D8" sqref="D8"/>
    </sheetView>
  </sheetViews>
  <sheetFormatPr defaultRowHeight="14.4" x14ac:dyDescent="0.3"/>
  <cols>
    <col min="1" max="1" width="10.44140625" style="8" customWidth="1"/>
    <col min="2" max="2" width="8.88671875" style="8" customWidth="1"/>
    <col min="3" max="3" width="18.77734375" style="8" customWidth="1"/>
    <col min="4" max="4" width="78" style="8" customWidth="1"/>
    <col min="5" max="5" width="54" style="8" customWidth="1"/>
    <col min="6" max="6" width="34.88671875" style="8" bestFit="1" customWidth="1"/>
    <col min="7" max="7" width="8.88671875" style="8" customWidth="1"/>
    <col min="8" max="16384" width="8.88671875" style="8"/>
  </cols>
  <sheetData>
    <row r="1" spans="1:6" ht="54" customHeight="1" x14ac:dyDescent="0.3">
      <c r="A1" s="8" t="s">
        <v>0</v>
      </c>
      <c r="B1" s="8" t="s">
        <v>71</v>
      </c>
      <c r="C1" s="8" t="s">
        <v>635</v>
      </c>
      <c r="D1" s="8" t="s">
        <v>72</v>
      </c>
      <c r="E1" s="8" t="s">
        <v>73</v>
      </c>
      <c r="F1" s="8" t="s">
        <v>74</v>
      </c>
    </row>
    <row r="2" spans="1:6" ht="54" customHeight="1" x14ac:dyDescent="0.3">
      <c r="A2" s="8" t="s">
        <v>1</v>
      </c>
      <c r="B2" s="8">
        <v>2023</v>
      </c>
      <c r="C2" s="8">
        <v>0</v>
      </c>
      <c r="D2" s="8" t="s">
        <v>75</v>
      </c>
      <c r="E2" s="8" t="s">
        <v>76</v>
      </c>
      <c r="F2" s="10" t="s">
        <v>77</v>
      </c>
    </row>
    <row r="3" spans="1:6" ht="36" customHeight="1" x14ac:dyDescent="0.3">
      <c r="A3" s="8" t="s">
        <v>1</v>
      </c>
      <c r="B3" s="8">
        <v>2024</v>
      </c>
      <c r="C3" s="8">
        <v>2</v>
      </c>
      <c r="D3" s="8" t="s">
        <v>78</v>
      </c>
      <c r="E3" s="10" t="s">
        <v>79</v>
      </c>
      <c r="F3" s="10" t="s">
        <v>80</v>
      </c>
    </row>
    <row r="4" spans="1:6" ht="36" customHeight="1" x14ac:dyDescent="0.3">
      <c r="A4" s="8" t="s">
        <v>1</v>
      </c>
      <c r="B4" s="8">
        <v>2025</v>
      </c>
      <c r="C4" s="8">
        <v>3</v>
      </c>
      <c r="D4" s="8" t="s">
        <v>81</v>
      </c>
      <c r="E4" s="8" t="s">
        <v>82</v>
      </c>
      <c r="F4" s="10" t="s">
        <v>83</v>
      </c>
    </row>
    <row r="5" spans="1:6" ht="36" customHeight="1" x14ac:dyDescent="0.3">
      <c r="A5" s="8" t="s">
        <v>2</v>
      </c>
      <c r="B5" s="8">
        <v>2023</v>
      </c>
      <c r="C5" s="8">
        <v>3</v>
      </c>
      <c r="D5" s="8" t="s">
        <v>84</v>
      </c>
      <c r="E5" s="10" t="s">
        <v>85</v>
      </c>
      <c r="F5" s="10" t="s">
        <v>86</v>
      </c>
    </row>
    <row r="6" spans="1:6" ht="54" customHeight="1" x14ac:dyDescent="0.3">
      <c r="A6" s="8" t="s">
        <v>2</v>
      </c>
      <c r="B6" s="8">
        <v>2024</v>
      </c>
      <c r="C6" s="8">
        <v>5</v>
      </c>
      <c r="D6" s="8" t="s">
        <v>87</v>
      </c>
      <c r="E6" s="10" t="s">
        <v>88</v>
      </c>
      <c r="F6" s="10" t="s">
        <v>89</v>
      </c>
    </row>
    <row r="7" spans="1:6" ht="36" customHeight="1" x14ac:dyDescent="0.3">
      <c r="A7" s="8" t="s">
        <v>2</v>
      </c>
      <c r="B7" s="8">
        <v>2025</v>
      </c>
      <c r="C7" s="8">
        <v>4</v>
      </c>
      <c r="D7" s="8" t="s">
        <v>90</v>
      </c>
      <c r="E7" s="10" t="s">
        <v>91</v>
      </c>
      <c r="F7" s="10" t="s">
        <v>92</v>
      </c>
    </row>
  </sheetData>
  <hyperlinks>
    <hyperlink ref="F2" r:id="rId1" location=":~:text=BEIJING,%20May%2012%20(Reuters),not%20immediately%20available%20for%20comment." xr:uid="{00000000-0004-0000-0200-000000000000}"/>
    <hyperlink ref="E3" r:id="rId2" xr:uid="{00000000-0004-0000-0200-000001000000}"/>
    <hyperlink ref="F3" r:id="rId3" xr:uid="{00000000-0004-0000-0200-000002000000}"/>
    <hyperlink ref="F4" r:id="rId4" xr:uid="{00000000-0004-0000-0200-000003000000}"/>
    <hyperlink ref="E5" r:id="rId5" xr:uid="{00000000-0004-0000-0200-000004000000}"/>
    <hyperlink ref="F5" r:id="rId6" xr:uid="{00000000-0004-0000-0200-000005000000}"/>
    <hyperlink ref="E6" r:id="rId7" xr:uid="{00000000-0004-0000-0200-000006000000}"/>
    <hyperlink ref="F6" r:id="rId8" xr:uid="{00000000-0004-0000-0200-000007000000}"/>
    <hyperlink ref="E7" r:id="rId9" xr:uid="{00000000-0004-0000-0200-000008000000}"/>
    <hyperlink ref="F7" r:id="rId10" xr:uid="{00000000-0004-0000-0200-000009000000}"/>
  </hyperlinks>
  <pageMargins left="0.7" right="0.7" top="0.75" bottom="0.75" header="0.3" footer="0.3"/>
  <tableParts count="1">
    <tablePart r:id="rId1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H32"/>
  <sheetViews>
    <sheetView showOutlineSymbols="0" workbookViewId="0">
      <selection activeCell="H5" sqref="H5"/>
    </sheetView>
  </sheetViews>
  <sheetFormatPr defaultRowHeight="14.4" x14ac:dyDescent="0.3"/>
  <cols>
    <col min="1" max="1" width="11.109375" bestFit="1" customWidth="1"/>
    <col min="2" max="2" width="12.88671875" customWidth="1"/>
    <col min="3" max="3" width="8" bestFit="1" customWidth="1"/>
    <col min="4" max="4" width="16" bestFit="1" customWidth="1"/>
    <col min="5" max="5" width="21.6640625" customWidth="1"/>
    <col min="6" max="6" width="22.109375" bestFit="1" customWidth="1"/>
    <col min="7" max="7" width="55" style="8" bestFit="1" customWidth="1"/>
    <col min="8" max="8" width="58.77734375" bestFit="1" customWidth="1"/>
  </cols>
  <sheetData>
    <row r="1" spans="1:8" x14ac:dyDescent="0.3">
      <c r="A1" s="5" t="s">
        <v>93</v>
      </c>
      <c r="B1" s="5" t="s">
        <v>59</v>
      </c>
    </row>
    <row r="2" spans="1:8" x14ac:dyDescent="0.3">
      <c r="A2">
        <v>0</v>
      </c>
      <c r="B2" t="s">
        <v>94</v>
      </c>
    </row>
    <row r="3" spans="1:8" x14ac:dyDescent="0.3">
      <c r="A3">
        <v>1</v>
      </c>
      <c r="B3" t="s">
        <v>95</v>
      </c>
    </row>
    <row r="4" spans="1:8" x14ac:dyDescent="0.3">
      <c r="A4">
        <v>2</v>
      </c>
      <c r="B4" t="s">
        <v>96</v>
      </c>
    </row>
    <row r="5" spans="1:8" x14ac:dyDescent="0.3">
      <c r="A5">
        <v>3</v>
      </c>
      <c r="B5" t="s">
        <v>97</v>
      </c>
    </row>
    <row r="8" spans="1:8" x14ac:dyDescent="0.3">
      <c r="A8" t="s">
        <v>0</v>
      </c>
      <c r="B8" t="s">
        <v>3</v>
      </c>
      <c r="C8" t="s">
        <v>98</v>
      </c>
      <c r="D8" t="s">
        <v>99</v>
      </c>
      <c r="E8" t="s">
        <v>100</v>
      </c>
      <c r="F8" t="s">
        <v>101</v>
      </c>
      <c r="G8" s="8" t="s">
        <v>102</v>
      </c>
      <c r="H8" t="s">
        <v>103</v>
      </c>
    </row>
    <row r="9" spans="1:8" ht="54" customHeight="1" x14ac:dyDescent="0.3">
      <c r="A9" t="s">
        <v>1</v>
      </c>
      <c r="B9" t="s">
        <v>4</v>
      </c>
      <c r="C9">
        <v>3</v>
      </c>
      <c r="D9" t="s">
        <v>104</v>
      </c>
      <c r="E9" t="s">
        <v>105</v>
      </c>
      <c r="F9" t="s">
        <v>104</v>
      </c>
      <c r="G9" s="8" t="s">
        <v>106</v>
      </c>
      <c r="H9" t="s">
        <v>107</v>
      </c>
    </row>
    <row r="10" spans="1:8" ht="54" customHeight="1" x14ac:dyDescent="0.3">
      <c r="A10" t="s">
        <v>1</v>
      </c>
      <c r="B10" t="s">
        <v>5</v>
      </c>
      <c r="C10">
        <v>3</v>
      </c>
      <c r="D10" t="s">
        <v>104</v>
      </c>
      <c r="E10" t="s">
        <v>105</v>
      </c>
      <c r="F10" t="s">
        <v>104</v>
      </c>
      <c r="G10" s="8" t="s">
        <v>106</v>
      </c>
      <c r="H10" t="s">
        <v>107</v>
      </c>
    </row>
    <row r="11" spans="1:8" ht="54" customHeight="1" x14ac:dyDescent="0.3">
      <c r="A11" t="s">
        <v>1</v>
      </c>
      <c r="B11" t="s">
        <v>6</v>
      </c>
      <c r="C11">
        <v>3</v>
      </c>
      <c r="D11" t="s">
        <v>104</v>
      </c>
      <c r="E11" t="s">
        <v>105</v>
      </c>
      <c r="F11" t="s">
        <v>104</v>
      </c>
      <c r="G11" s="8" t="s">
        <v>106</v>
      </c>
      <c r="H11" t="s">
        <v>107</v>
      </c>
    </row>
    <row r="12" spans="1:8" ht="54" customHeight="1" x14ac:dyDescent="0.3">
      <c r="A12" t="s">
        <v>1</v>
      </c>
      <c r="B12" t="s">
        <v>7</v>
      </c>
      <c r="C12">
        <v>3</v>
      </c>
      <c r="D12" t="s">
        <v>104</v>
      </c>
      <c r="E12" t="s">
        <v>105</v>
      </c>
      <c r="F12" t="s">
        <v>104</v>
      </c>
      <c r="G12" s="8" t="s">
        <v>106</v>
      </c>
      <c r="H12" t="s">
        <v>107</v>
      </c>
    </row>
    <row r="13" spans="1:8" ht="54" customHeight="1" x14ac:dyDescent="0.3">
      <c r="A13" t="s">
        <v>1</v>
      </c>
      <c r="B13" t="s">
        <v>8</v>
      </c>
      <c r="C13">
        <v>3</v>
      </c>
      <c r="D13" t="s">
        <v>104</v>
      </c>
      <c r="E13" t="s">
        <v>105</v>
      </c>
      <c r="F13" t="s">
        <v>104</v>
      </c>
      <c r="G13" s="8" t="s">
        <v>106</v>
      </c>
      <c r="H13" t="s">
        <v>107</v>
      </c>
    </row>
    <row r="14" spans="1:8" ht="54" customHeight="1" x14ac:dyDescent="0.3">
      <c r="A14" t="s">
        <v>1</v>
      </c>
      <c r="B14" t="s">
        <v>9</v>
      </c>
      <c r="C14">
        <v>3</v>
      </c>
      <c r="D14" t="s">
        <v>104</v>
      </c>
      <c r="E14" t="s">
        <v>105</v>
      </c>
      <c r="F14" t="s">
        <v>104</v>
      </c>
      <c r="G14" s="8" t="s">
        <v>106</v>
      </c>
      <c r="H14" t="s">
        <v>107</v>
      </c>
    </row>
    <row r="15" spans="1:8" ht="54" customHeight="1" x14ac:dyDescent="0.3">
      <c r="A15" t="s">
        <v>1</v>
      </c>
      <c r="B15" t="s">
        <v>10</v>
      </c>
      <c r="C15">
        <v>3</v>
      </c>
      <c r="D15" t="s">
        <v>104</v>
      </c>
      <c r="E15" t="s">
        <v>105</v>
      </c>
      <c r="F15" t="s">
        <v>104</v>
      </c>
      <c r="G15" s="8" t="s">
        <v>106</v>
      </c>
      <c r="H15" t="s">
        <v>107</v>
      </c>
    </row>
    <row r="16" spans="1:8" ht="54" customHeight="1" x14ac:dyDescent="0.3">
      <c r="A16" t="s">
        <v>1</v>
      </c>
      <c r="B16" t="s">
        <v>11</v>
      </c>
      <c r="C16">
        <v>3</v>
      </c>
      <c r="D16" t="s">
        <v>104</v>
      </c>
      <c r="E16" t="s">
        <v>105</v>
      </c>
      <c r="F16" t="s">
        <v>104</v>
      </c>
      <c r="G16" s="8" t="s">
        <v>106</v>
      </c>
      <c r="H16" t="s">
        <v>107</v>
      </c>
    </row>
    <row r="17" spans="1:8" ht="54" customHeight="1" x14ac:dyDescent="0.3">
      <c r="A17" t="s">
        <v>1</v>
      </c>
      <c r="B17" t="s">
        <v>12</v>
      </c>
      <c r="C17">
        <v>3</v>
      </c>
      <c r="D17" t="s">
        <v>104</v>
      </c>
      <c r="E17" t="s">
        <v>105</v>
      </c>
      <c r="F17" t="s">
        <v>104</v>
      </c>
      <c r="G17" s="8" t="s">
        <v>106</v>
      </c>
      <c r="H17" t="s">
        <v>107</v>
      </c>
    </row>
    <row r="18" spans="1:8" ht="54" customHeight="1" x14ac:dyDescent="0.3">
      <c r="A18" t="s">
        <v>1</v>
      </c>
      <c r="B18" t="s">
        <v>13</v>
      </c>
      <c r="C18">
        <v>3</v>
      </c>
      <c r="D18" t="s">
        <v>104</v>
      </c>
      <c r="E18" t="s">
        <v>105</v>
      </c>
      <c r="F18" t="s">
        <v>104</v>
      </c>
      <c r="G18" s="8" t="s">
        <v>106</v>
      </c>
      <c r="H18" t="s">
        <v>107</v>
      </c>
    </row>
    <row r="19" spans="1:8" ht="54" customHeight="1" x14ac:dyDescent="0.3">
      <c r="A19" t="s">
        <v>1</v>
      </c>
      <c r="B19" t="s">
        <v>14</v>
      </c>
      <c r="C19">
        <v>3</v>
      </c>
      <c r="D19" t="s">
        <v>104</v>
      </c>
      <c r="E19" t="s">
        <v>105</v>
      </c>
      <c r="F19" t="s">
        <v>104</v>
      </c>
      <c r="G19" s="8" t="s">
        <v>106</v>
      </c>
      <c r="H19" t="s">
        <v>107</v>
      </c>
    </row>
    <row r="20" spans="1:8" ht="54" customHeight="1" x14ac:dyDescent="0.3">
      <c r="A20" t="s">
        <v>1</v>
      </c>
      <c r="B20" t="s">
        <v>15</v>
      </c>
      <c r="C20">
        <v>3</v>
      </c>
      <c r="D20" t="s">
        <v>104</v>
      </c>
      <c r="E20" t="s">
        <v>105</v>
      </c>
      <c r="F20" t="s">
        <v>104</v>
      </c>
      <c r="G20" s="8" t="s">
        <v>106</v>
      </c>
      <c r="H20" t="s">
        <v>107</v>
      </c>
    </row>
    <row r="21" spans="1:8" ht="36" customHeight="1" x14ac:dyDescent="0.3">
      <c r="A21" t="s">
        <v>2</v>
      </c>
      <c r="B21" t="s">
        <v>4</v>
      </c>
      <c r="C21">
        <v>1</v>
      </c>
      <c r="D21" t="s">
        <v>108</v>
      </c>
      <c r="E21" t="s">
        <v>109</v>
      </c>
      <c r="F21" t="s">
        <v>108</v>
      </c>
      <c r="G21" s="8" t="s">
        <v>110</v>
      </c>
      <c r="H21" t="s">
        <v>111</v>
      </c>
    </row>
    <row r="22" spans="1:8" ht="36" customHeight="1" x14ac:dyDescent="0.3">
      <c r="A22" t="s">
        <v>2</v>
      </c>
      <c r="B22" t="s">
        <v>5</v>
      </c>
      <c r="C22">
        <v>1</v>
      </c>
      <c r="D22" t="s">
        <v>108</v>
      </c>
      <c r="E22" t="s">
        <v>109</v>
      </c>
      <c r="F22" t="s">
        <v>108</v>
      </c>
      <c r="G22" s="8" t="s">
        <v>110</v>
      </c>
      <c r="H22" t="s">
        <v>111</v>
      </c>
    </row>
    <row r="23" spans="1:8" ht="54" customHeight="1" x14ac:dyDescent="0.3">
      <c r="A23" t="s">
        <v>2</v>
      </c>
      <c r="B23" t="s">
        <v>6</v>
      </c>
      <c r="C23">
        <v>2</v>
      </c>
      <c r="D23" t="s">
        <v>104</v>
      </c>
      <c r="E23" t="s">
        <v>109</v>
      </c>
      <c r="F23" t="s">
        <v>112</v>
      </c>
      <c r="G23" s="8" t="s">
        <v>113</v>
      </c>
      <c r="H23" t="s">
        <v>111</v>
      </c>
    </row>
    <row r="24" spans="1:8" ht="54" customHeight="1" x14ac:dyDescent="0.3">
      <c r="A24" t="s">
        <v>2</v>
      </c>
      <c r="B24" t="s">
        <v>7</v>
      </c>
      <c r="C24">
        <v>2</v>
      </c>
      <c r="D24" t="s">
        <v>104</v>
      </c>
      <c r="E24" t="s">
        <v>109</v>
      </c>
      <c r="F24" t="s">
        <v>112</v>
      </c>
      <c r="G24" s="8" t="s">
        <v>113</v>
      </c>
      <c r="H24" t="s">
        <v>111</v>
      </c>
    </row>
    <row r="25" spans="1:8" ht="54" customHeight="1" x14ac:dyDescent="0.3">
      <c r="A25" t="s">
        <v>2</v>
      </c>
      <c r="B25" t="s">
        <v>8</v>
      </c>
      <c r="C25">
        <v>2</v>
      </c>
      <c r="D25" t="s">
        <v>104</v>
      </c>
      <c r="E25" t="s">
        <v>109</v>
      </c>
      <c r="F25" t="s">
        <v>112</v>
      </c>
      <c r="G25" s="8" t="s">
        <v>113</v>
      </c>
      <c r="H25" t="s">
        <v>111</v>
      </c>
    </row>
    <row r="26" spans="1:8" ht="54" customHeight="1" x14ac:dyDescent="0.3">
      <c r="A26" t="s">
        <v>2</v>
      </c>
      <c r="B26" t="s">
        <v>9</v>
      </c>
      <c r="C26">
        <v>2</v>
      </c>
      <c r="D26" t="s">
        <v>104</v>
      </c>
      <c r="E26" t="s">
        <v>109</v>
      </c>
      <c r="F26" t="s">
        <v>112</v>
      </c>
      <c r="G26" s="8" t="s">
        <v>113</v>
      </c>
      <c r="H26" t="s">
        <v>111</v>
      </c>
    </row>
    <row r="27" spans="1:8" ht="54" customHeight="1" x14ac:dyDescent="0.3">
      <c r="A27" t="s">
        <v>2</v>
      </c>
      <c r="B27" t="s">
        <v>10</v>
      </c>
      <c r="C27">
        <v>2</v>
      </c>
      <c r="D27" t="s">
        <v>104</v>
      </c>
      <c r="E27" t="s">
        <v>109</v>
      </c>
      <c r="F27" t="s">
        <v>112</v>
      </c>
      <c r="G27" s="8" t="s">
        <v>113</v>
      </c>
      <c r="H27" t="s">
        <v>111</v>
      </c>
    </row>
    <row r="28" spans="1:8" ht="54" customHeight="1" x14ac:dyDescent="0.3">
      <c r="A28" t="s">
        <v>2</v>
      </c>
      <c r="B28" t="s">
        <v>11</v>
      </c>
      <c r="C28">
        <v>2</v>
      </c>
      <c r="D28" t="s">
        <v>104</v>
      </c>
      <c r="E28" t="s">
        <v>109</v>
      </c>
      <c r="F28" t="s">
        <v>112</v>
      </c>
      <c r="G28" s="8" t="s">
        <v>113</v>
      </c>
      <c r="H28" t="s">
        <v>111</v>
      </c>
    </row>
    <row r="29" spans="1:8" ht="54" customHeight="1" x14ac:dyDescent="0.3">
      <c r="A29" t="s">
        <v>2</v>
      </c>
      <c r="B29" t="s">
        <v>12</v>
      </c>
      <c r="C29">
        <v>2</v>
      </c>
      <c r="D29" t="s">
        <v>104</v>
      </c>
      <c r="E29" t="s">
        <v>109</v>
      </c>
      <c r="F29" t="s">
        <v>112</v>
      </c>
      <c r="G29" s="8" t="s">
        <v>113</v>
      </c>
      <c r="H29" t="s">
        <v>111</v>
      </c>
    </row>
    <row r="30" spans="1:8" ht="54" customHeight="1" x14ac:dyDescent="0.3">
      <c r="A30" t="s">
        <v>2</v>
      </c>
      <c r="B30" t="s">
        <v>13</v>
      </c>
      <c r="C30">
        <v>2</v>
      </c>
      <c r="D30" t="s">
        <v>104</v>
      </c>
      <c r="E30" t="s">
        <v>109</v>
      </c>
      <c r="F30" t="s">
        <v>112</v>
      </c>
      <c r="G30" s="8" t="s">
        <v>113</v>
      </c>
      <c r="H30" t="s">
        <v>111</v>
      </c>
    </row>
    <row r="31" spans="1:8" ht="54" customHeight="1" x14ac:dyDescent="0.3">
      <c r="A31" t="s">
        <v>2</v>
      </c>
      <c r="B31" t="s">
        <v>14</v>
      </c>
      <c r="C31">
        <v>2</v>
      </c>
      <c r="D31" t="s">
        <v>104</v>
      </c>
      <c r="E31" t="s">
        <v>109</v>
      </c>
      <c r="F31" t="s">
        <v>112</v>
      </c>
      <c r="G31" s="8" t="s">
        <v>113</v>
      </c>
      <c r="H31" t="s">
        <v>111</v>
      </c>
    </row>
    <row r="32" spans="1:8" ht="54" customHeight="1" x14ac:dyDescent="0.3">
      <c r="A32" t="s">
        <v>2</v>
      </c>
      <c r="B32" t="s">
        <v>15</v>
      </c>
      <c r="C32">
        <v>2</v>
      </c>
      <c r="D32" t="s">
        <v>104</v>
      </c>
      <c r="E32" t="s">
        <v>109</v>
      </c>
      <c r="F32" t="s">
        <v>112</v>
      </c>
      <c r="G32" s="8" t="s">
        <v>113</v>
      </c>
      <c r="H32" t="s">
        <v>111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Y13"/>
  <sheetViews>
    <sheetView showOutlineSymbols="0" workbookViewId="0">
      <selection activeCell="E16" sqref="E16"/>
    </sheetView>
  </sheetViews>
  <sheetFormatPr defaultRowHeight="14.4" x14ac:dyDescent="0.3"/>
  <cols>
    <col min="1" max="1" width="60.21875" bestFit="1" customWidth="1"/>
    <col min="2" max="4" width="8.88671875" customWidth="1"/>
    <col min="5" max="5" width="22.77734375" customWidth="1"/>
    <col min="6" max="6" width="8.88671875" customWidth="1"/>
    <col min="9" max="9" width="16" customWidth="1"/>
    <col min="10" max="12" width="8.88671875" customWidth="1"/>
    <col min="13" max="13" width="7.33203125" bestFit="1" customWidth="1"/>
    <col min="14" max="14" width="8.88671875" customWidth="1"/>
    <col min="17" max="20" width="8.88671875" customWidth="1"/>
    <col min="21" max="21" width="7.33203125" bestFit="1" customWidth="1"/>
    <col min="22" max="22" width="8.88671875" customWidth="1"/>
    <col min="25" max="25" width="9" bestFit="1" customWidth="1"/>
  </cols>
  <sheetData>
    <row r="1" spans="1:25" x14ac:dyDescent="0.3">
      <c r="A1" s="39" t="s">
        <v>0</v>
      </c>
      <c r="B1" s="64" t="s">
        <v>1</v>
      </c>
      <c r="C1" s="56"/>
      <c r="D1" s="56"/>
      <c r="E1" s="65"/>
      <c r="F1" s="64" t="s">
        <v>2</v>
      </c>
      <c r="G1" s="56"/>
      <c r="H1" s="56"/>
      <c r="I1" s="65"/>
      <c r="J1" s="64" t="s">
        <v>1</v>
      </c>
      <c r="K1" s="56"/>
      <c r="L1" s="56"/>
      <c r="M1" s="65"/>
      <c r="N1" s="64" t="s">
        <v>2</v>
      </c>
      <c r="O1" s="56"/>
      <c r="P1" s="56"/>
      <c r="Q1" s="65"/>
      <c r="R1" s="64" t="s">
        <v>1</v>
      </c>
      <c r="S1" s="56"/>
      <c r="T1" s="56"/>
      <c r="U1" s="65"/>
      <c r="V1" s="64" t="s">
        <v>2</v>
      </c>
      <c r="W1" s="56"/>
      <c r="X1" s="56"/>
      <c r="Y1" s="65"/>
    </row>
    <row r="2" spans="1:25" x14ac:dyDescent="0.3">
      <c r="A2" s="39" t="s">
        <v>3</v>
      </c>
      <c r="B2" s="9" t="s">
        <v>4</v>
      </c>
      <c r="C2" s="5" t="s">
        <v>5</v>
      </c>
      <c r="D2" s="5" t="s">
        <v>6</v>
      </c>
      <c r="E2" s="39" t="s">
        <v>7</v>
      </c>
      <c r="F2" s="9" t="s">
        <v>4</v>
      </c>
      <c r="G2" s="5" t="s">
        <v>5</v>
      </c>
      <c r="H2" s="5" t="s">
        <v>6</v>
      </c>
      <c r="I2" s="39" t="s">
        <v>7</v>
      </c>
      <c r="J2" s="9" t="s">
        <v>8</v>
      </c>
      <c r="K2" s="5" t="s">
        <v>9</v>
      </c>
      <c r="L2" s="5" t="s">
        <v>10</v>
      </c>
      <c r="M2" s="39" t="s">
        <v>11</v>
      </c>
      <c r="N2" s="9" t="s">
        <v>8</v>
      </c>
      <c r="O2" s="5" t="s">
        <v>9</v>
      </c>
      <c r="P2" s="5" t="s">
        <v>10</v>
      </c>
      <c r="Q2" s="39" t="s">
        <v>11</v>
      </c>
      <c r="R2" s="9" t="s">
        <v>12</v>
      </c>
      <c r="S2" s="5" t="s">
        <v>13</v>
      </c>
      <c r="T2" s="5" t="s">
        <v>14</v>
      </c>
      <c r="U2" s="39" t="s">
        <v>15</v>
      </c>
      <c r="V2" s="9" t="s">
        <v>12</v>
      </c>
      <c r="W2" s="5" t="s">
        <v>13</v>
      </c>
      <c r="X2" s="5" t="s">
        <v>14</v>
      </c>
      <c r="Y2" s="39" t="s">
        <v>15</v>
      </c>
    </row>
    <row r="3" spans="1:25" x14ac:dyDescent="0.3">
      <c r="A3" s="40" t="s">
        <v>16</v>
      </c>
      <c r="B3" s="41"/>
      <c r="C3" s="17"/>
      <c r="D3" s="17"/>
      <c r="E3" s="42"/>
      <c r="F3" s="41"/>
      <c r="G3" s="17"/>
      <c r="H3" s="17"/>
      <c r="I3" s="42"/>
      <c r="J3" s="41"/>
      <c r="K3" s="17"/>
      <c r="L3" s="17"/>
      <c r="M3" s="42"/>
      <c r="N3" s="41"/>
      <c r="O3" s="17"/>
      <c r="P3" s="17"/>
      <c r="Q3" s="42"/>
      <c r="R3" s="41"/>
      <c r="S3" s="17"/>
      <c r="T3" s="17"/>
      <c r="U3" s="42"/>
      <c r="V3" s="41"/>
      <c r="W3" s="17"/>
      <c r="X3" s="17"/>
      <c r="Y3" s="42"/>
    </row>
    <row r="4" spans="1:25" x14ac:dyDescent="0.3">
      <c r="A4" s="39" t="s">
        <v>17</v>
      </c>
      <c r="B4" s="1">
        <v>9</v>
      </c>
      <c r="C4">
        <v>13</v>
      </c>
      <c r="D4">
        <v>18</v>
      </c>
      <c r="E4" s="2">
        <v>2</v>
      </c>
      <c r="F4" s="1">
        <v>12</v>
      </c>
      <c r="G4">
        <v>9</v>
      </c>
      <c r="H4">
        <v>32</v>
      </c>
      <c r="I4" s="2">
        <v>29</v>
      </c>
      <c r="J4" s="1">
        <v>2</v>
      </c>
      <c r="K4">
        <v>3</v>
      </c>
      <c r="L4">
        <v>3</v>
      </c>
      <c r="M4" s="2">
        <v>0</v>
      </c>
      <c r="N4" s="1">
        <v>32</v>
      </c>
      <c r="O4">
        <v>50</v>
      </c>
      <c r="P4">
        <v>40</v>
      </c>
      <c r="Q4" s="2">
        <v>31</v>
      </c>
      <c r="R4" s="1">
        <v>4</v>
      </c>
      <c r="S4">
        <v>0</v>
      </c>
      <c r="T4">
        <v>2</v>
      </c>
      <c r="U4" s="2">
        <v>0</v>
      </c>
      <c r="V4" s="1">
        <v>41</v>
      </c>
      <c r="W4">
        <v>48</v>
      </c>
      <c r="X4">
        <v>7</v>
      </c>
      <c r="Y4" s="2">
        <v>0</v>
      </c>
    </row>
    <row r="5" spans="1:25" x14ac:dyDescent="0.3">
      <c r="A5" s="43" t="s">
        <v>18</v>
      </c>
      <c r="B5" s="44">
        <v>771</v>
      </c>
      <c r="C5" s="45">
        <v>943</v>
      </c>
      <c r="D5" s="45">
        <v>1161</v>
      </c>
      <c r="E5" s="46">
        <v>1094</v>
      </c>
      <c r="F5" s="47">
        <f>F6*0.1455</f>
        <v>907.61444999999992</v>
      </c>
      <c r="G5" s="47">
        <f t="shared" ref="G5:I5" si="0">G6*0.1455</f>
        <v>1105.3198499999999</v>
      </c>
      <c r="H5" s="47">
        <f t="shared" si="0"/>
        <v>1615.58835</v>
      </c>
      <c r="I5" s="47">
        <f t="shared" si="0"/>
        <v>2129.6252999999997</v>
      </c>
      <c r="J5" s="44">
        <v>1151</v>
      </c>
      <c r="K5" s="45">
        <v>1074</v>
      </c>
      <c r="L5" s="45">
        <v>1039</v>
      </c>
      <c r="M5" s="46">
        <v>1276</v>
      </c>
      <c r="N5" s="47">
        <f>N6*0.1455</f>
        <v>1543.8568499999999</v>
      </c>
      <c r="O5" s="47">
        <f t="shared" ref="O5:Q5" si="1">O6*0.1455</f>
        <v>1310.96955</v>
      </c>
      <c r="P5" s="47">
        <f t="shared" si="1"/>
        <v>1993.1317499999998</v>
      </c>
      <c r="Q5" s="47">
        <f t="shared" si="1"/>
        <v>2891.8852499999998</v>
      </c>
      <c r="R5" s="44">
        <v>1409</v>
      </c>
      <c r="S5" s="45">
        <v>1589</v>
      </c>
      <c r="T5" s="45">
        <v>1630</v>
      </c>
      <c r="U5" s="46">
        <v>1783</v>
      </c>
      <c r="V5" s="47">
        <f>V6*0.1455</f>
        <v>2069.4465</v>
      </c>
      <c r="W5" s="47">
        <f t="shared" ref="W5:Y5" si="2">W6*0.1455</f>
        <v>2236.8296999999998</v>
      </c>
      <c r="X5" s="47">
        <f t="shared" si="2"/>
        <v>2059.1305499999999</v>
      </c>
      <c r="Y5" s="47">
        <f t="shared" si="2"/>
        <v>2070.4213500000001</v>
      </c>
    </row>
    <row r="6" spans="1:25" x14ac:dyDescent="0.3">
      <c r="A6" s="48" t="s">
        <v>634</v>
      </c>
      <c r="F6">
        <v>6237.9</v>
      </c>
      <c r="G6">
        <v>7596.7</v>
      </c>
      <c r="H6">
        <v>11103.7</v>
      </c>
      <c r="I6">
        <v>14636.6</v>
      </c>
      <c r="N6">
        <v>10610.7</v>
      </c>
      <c r="O6">
        <v>9010.1</v>
      </c>
      <c r="P6">
        <v>13698.5</v>
      </c>
      <c r="Q6">
        <v>19875.5</v>
      </c>
      <c r="V6">
        <v>14223</v>
      </c>
      <c r="W6">
        <v>15373.4</v>
      </c>
      <c r="X6">
        <v>14152.1</v>
      </c>
      <c r="Y6">
        <v>14229.7</v>
      </c>
    </row>
    <row r="7" spans="1:25" x14ac:dyDescent="0.3">
      <c r="A7" s="49"/>
      <c r="E7">
        <f>SUM(B5:E5)</f>
        <v>3969</v>
      </c>
      <c r="I7" s="50">
        <f>SUM(F5:I5)</f>
        <v>5758.1479499999996</v>
      </c>
      <c r="M7">
        <f>SUM(J5:M5)</f>
        <v>4540</v>
      </c>
      <c r="Q7" s="50">
        <f>SUM(N5:Q5)</f>
        <v>7739.8433999999997</v>
      </c>
      <c r="U7">
        <f>SUM(R5:U5)</f>
        <v>6411</v>
      </c>
      <c r="Y7" s="50">
        <f>SUM(V5:Y5)</f>
        <v>8435.8281000000006</v>
      </c>
    </row>
    <row r="8" spans="1:25" x14ac:dyDescent="0.3">
      <c r="A8" s="49"/>
    </row>
    <row r="9" spans="1:25" x14ac:dyDescent="0.3">
      <c r="A9" s="5" t="s">
        <v>616</v>
      </c>
      <c r="B9" s="56" t="s">
        <v>1</v>
      </c>
      <c r="C9" s="56"/>
      <c r="D9" s="56"/>
      <c r="E9" s="56"/>
      <c r="F9" s="56" t="s">
        <v>2</v>
      </c>
      <c r="G9" s="56"/>
      <c r="H9" s="56"/>
      <c r="I9" s="56"/>
    </row>
    <row r="10" spans="1:25" x14ac:dyDescent="0.3">
      <c r="A10" s="5" t="s">
        <v>636</v>
      </c>
      <c r="B10" s="60" t="s">
        <v>637</v>
      </c>
      <c r="C10" s="60"/>
      <c r="D10" s="60"/>
      <c r="E10" s="60"/>
      <c r="F10" s="60" t="s">
        <v>637</v>
      </c>
      <c r="G10" s="60"/>
      <c r="H10" s="60"/>
      <c r="I10" s="60"/>
    </row>
    <row r="11" spans="1:25" s="8" customFormat="1" ht="71.400000000000006" customHeight="1" x14ac:dyDescent="0.3">
      <c r="A11" s="7" t="s">
        <v>629</v>
      </c>
      <c r="B11" s="59" t="s">
        <v>632</v>
      </c>
      <c r="C11" s="59"/>
      <c r="D11" s="59"/>
      <c r="E11" s="59"/>
      <c r="F11" s="59" t="s">
        <v>633</v>
      </c>
      <c r="G11" s="59"/>
      <c r="H11" s="59"/>
      <c r="I11" s="59"/>
    </row>
    <row r="12" spans="1:25" x14ac:dyDescent="0.3">
      <c r="F12" s="18" t="s">
        <v>631</v>
      </c>
    </row>
    <row r="13" spans="1:25" x14ac:dyDescent="0.3">
      <c r="A13" s="5" t="s">
        <v>630</v>
      </c>
    </row>
  </sheetData>
  <mergeCells count="12">
    <mergeCell ref="B1:E1"/>
    <mergeCell ref="F1:I1"/>
    <mergeCell ref="R1:U1"/>
    <mergeCell ref="N1:Q1"/>
    <mergeCell ref="V1:Y1"/>
    <mergeCell ref="J1:M1"/>
    <mergeCell ref="F11:I11"/>
    <mergeCell ref="F9:I9"/>
    <mergeCell ref="B9:E9"/>
    <mergeCell ref="B10:E10"/>
    <mergeCell ref="B11:E11"/>
    <mergeCell ref="F10:I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D20"/>
  <sheetViews>
    <sheetView showOutlineSymbols="0" workbookViewId="0">
      <selection sqref="A1:D1"/>
    </sheetView>
  </sheetViews>
  <sheetFormatPr defaultRowHeight="14.4" x14ac:dyDescent="0.3"/>
  <cols>
    <col min="1" max="1" width="7.109375" bestFit="1" customWidth="1"/>
    <col min="2" max="2" width="35.21875" bestFit="1" customWidth="1"/>
    <col min="3" max="3" width="68.109375" bestFit="1" customWidth="1"/>
    <col min="4" max="4" width="56" bestFit="1" customWidth="1"/>
  </cols>
  <sheetData>
    <row r="1" spans="1:4" x14ac:dyDescent="0.3">
      <c r="A1" s="56" t="s">
        <v>114</v>
      </c>
      <c r="B1" s="57"/>
      <c r="C1" s="57"/>
      <c r="D1" s="57"/>
    </row>
    <row r="2" spans="1:4" x14ac:dyDescent="0.3">
      <c r="A2" s="69" t="s">
        <v>115</v>
      </c>
      <c r="B2" s="69" t="s">
        <v>116</v>
      </c>
      <c r="C2" s="69" t="s">
        <v>117</v>
      </c>
      <c r="D2" s="69" t="s">
        <v>118</v>
      </c>
    </row>
    <row r="3" spans="1:4" x14ac:dyDescent="0.3">
      <c r="A3" s="4" t="s">
        <v>119</v>
      </c>
      <c r="B3" s="4" t="s">
        <v>120</v>
      </c>
      <c r="C3" s="4" t="s">
        <v>121</v>
      </c>
      <c r="D3" s="4" t="s">
        <v>122</v>
      </c>
    </row>
    <row r="4" spans="1:4" x14ac:dyDescent="0.3">
      <c r="A4" s="4" t="s">
        <v>123</v>
      </c>
      <c r="B4" s="4" t="s">
        <v>124</v>
      </c>
      <c r="C4" s="4" t="s">
        <v>125</v>
      </c>
      <c r="D4" s="4" t="s">
        <v>126</v>
      </c>
    </row>
    <row r="5" spans="1:4" x14ac:dyDescent="0.3">
      <c r="A5" s="70" t="s">
        <v>127</v>
      </c>
      <c r="B5" s="70" t="s">
        <v>128</v>
      </c>
      <c r="C5" s="70" t="s">
        <v>129</v>
      </c>
      <c r="D5" s="70" t="s">
        <v>130</v>
      </c>
    </row>
    <row r="6" spans="1:4" x14ac:dyDescent="0.3">
      <c r="A6" s="70" t="s">
        <v>131</v>
      </c>
      <c r="B6" s="70" t="s">
        <v>132</v>
      </c>
      <c r="C6" s="70" t="s">
        <v>133</v>
      </c>
      <c r="D6" s="70" t="s">
        <v>134</v>
      </c>
    </row>
    <row r="7" spans="1:4" x14ac:dyDescent="0.3">
      <c r="A7" s="4" t="s">
        <v>135</v>
      </c>
      <c r="B7" s="4" t="s">
        <v>136</v>
      </c>
      <c r="C7" s="4" t="s">
        <v>137</v>
      </c>
      <c r="D7" s="4" t="s">
        <v>138</v>
      </c>
    </row>
    <row r="8" spans="1:4" x14ac:dyDescent="0.3">
      <c r="A8" s="4" t="s">
        <v>139</v>
      </c>
      <c r="B8" s="4" t="s">
        <v>140</v>
      </c>
      <c r="C8" s="4" t="s">
        <v>141</v>
      </c>
      <c r="D8" s="4" t="s">
        <v>142</v>
      </c>
    </row>
    <row r="9" spans="1:4" x14ac:dyDescent="0.3">
      <c r="A9" s="70" t="s">
        <v>143</v>
      </c>
      <c r="B9" s="70" t="s">
        <v>144</v>
      </c>
      <c r="C9" s="70" t="s">
        <v>145</v>
      </c>
      <c r="D9" s="70" t="s">
        <v>146</v>
      </c>
    </row>
    <row r="10" spans="1:4" x14ac:dyDescent="0.3">
      <c r="A10" s="70" t="s">
        <v>147</v>
      </c>
      <c r="B10" s="70" t="s">
        <v>148</v>
      </c>
      <c r="C10" s="70" t="s">
        <v>149</v>
      </c>
      <c r="D10" s="70" t="s">
        <v>732</v>
      </c>
    </row>
    <row r="11" spans="1:4" x14ac:dyDescent="0.3">
      <c r="A11" s="4" t="s">
        <v>150</v>
      </c>
      <c r="B11" s="4" t="s">
        <v>151</v>
      </c>
      <c r="C11" s="4" t="s">
        <v>152</v>
      </c>
      <c r="D11" s="4" t="s">
        <v>153</v>
      </c>
    </row>
    <row r="12" spans="1:4" x14ac:dyDescent="0.3">
      <c r="A12" s="4" t="s">
        <v>154</v>
      </c>
      <c r="B12" s="4" t="s">
        <v>155</v>
      </c>
      <c r="C12" s="4" t="s">
        <v>156</v>
      </c>
      <c r="D12" s="4" t="s">
        <v>733</v>
      </c>
    </row>
    <row r="13" spans="1:4" x14ac:dyDescent="0.3">
      <c r="A13" s="70" t="s">
        <v>157</v>
      </c>
      <c r="B13" s="70" t="s">
        <v>158</v>
      </c>
      <c r="C13" s="70" t="s">
        <v>159</v>
      </c>
      <c r="D13" s="70" t="s">
        <v>160</v>
      </c>
    </row>
    <row r="14" spans="1:4" x14ac:dyDescent="0.3">
      <c r="A14" s="70" t="s">
        <v>161</v>
      </c>
      <c r="B14" s="70" t="s">
        <v>162</v>
      </c>
      <c r="C14" s="70" t="s">
        <v>163</v>
      </c>
      <c r="D14" s="70" t="s">
        <v>734</v>
      </c>
    </row>
    <row r="15" spans="1:4" x14ac:dyDescent="0.3">
      <c r="A15" s="4" t="s">
        <v>164</v>
      </c>
      <c r="B15" s="4" t="s">
        <v>165</v>
      </c>
      <c r="C15" s="4" t="s">
        <v>166</v>
      </c>
      <c r="D15" s="4" t="s">
        <v>167</v>
      </c>
    </row>
    <row r="16" spans="1:4" x14ac:dyDescent="0.3">
      <c r="A16" s="70" t="s">
        <v>168</v>
      </c>
      <c r="B16" s="70" t="s">
        <v>169</v>
      </c>
      <c r="C16" s="70" t="s">
        <v>170</v>
      </c>
      <c r="D16" s="70" t="s">
        <v>171</v>
      </c>
    </row>
    <row r="17" spans="1:4" x14ac:dyDescent="0.3">
      <c r="A17" s="70" t="s">
        <v>172</v>
      </c>
      <c r="B17" s="70" t="s">
        <v>173</v>
      </c>
      <c r="C17" s="70" t="s">
        <v>174</v>
      </c>
      <c r="D17" s="70" t="s">
        <v>175</v>
      </c>
    </row>
    <row r="20" spans="1:4" x14ac:dyDescent="0.3">
      <c r="B20" s="55" t="s">
        <v>735</v>
      </c>
    </row>
  </sheetData>
  <mergeCells count="1">
    <mergeCell ref="A1:D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59999389629810485"/>
  </sheetPr>
  <dimension ref="A1:X155"/>
  <sheetViews>
    <sheetView showOutlineSymbols="0" workbookViewId="0">
      <selection activeCell="H22" sqref="H22"/>
    </sheetView>
  </sheetViews>
  <sheetFormatPr defaultRowHeight="14.4" x14ac:dyDescent="0.3"/>
  <cols>
    <col min="1" max="1" width="8.88671875" style="8"/>
    <col min="2" max="2" width="16" bestFit="1" customWidth="1"/>
    <col min="3" max="3" width="10.77734375" customWidth="1"/>
    <col min="4" max="4" width="8.88671875" customWidth="1"/>
    <col min="5" max="5" width="12.6640625" style="8" bestFit="1" customWidth="1"/>
    <col min="6" max="6" width="10.6640625" style="53" bestFit="1" customWidth="1"/>
    <col min="7" max="7" width="9.21875" customWidth="1"/>
    <col min="8" max="8" width="68.5546875" style="8" bestFit="1" customWidth="1"/>
    <col min="9" max="14" width="8.88671875" customWidth="1"/>
    <col min="15" max="16" width="9.109375" customWidth="1"/>
    <col min="17" max="23" width="8.88671875" customWidth="1"/>
    <col min="24" max="24" width="37.5546875" bestFit="1" customWidth="1"/>
    <col min="25" max="25" width="8.88671875" style="6" customWidth="1"/>
    <col min="26" max="16384" width="8.88671875" style="6"/>
  </cols>
  <sheetData>
    <row r="1" spans="1:24" x14ac:dyDescent="0.3">
      <c r="A1" t="s">
        <v>396</v>
      </c>
      <c r="B1" t="s">
        <v>176</v>
      </c>
      <c r="C1" t="s">
        <v>0</v>
      </c>
      <c r="D1" t="s">
        <v>177</v>
      </c>
      <c r="E1" t="s">
        <v>178</v>
      </c>
      <c r="F1" s="53" t="s">
        <v>179</v>
      </c>
      <c r="G1" t="s">
        <v>60</v>
      </c>
      <c r="H1" s="8" t="s">
        <v>180</v>
      </c>
      <c r="I1" t="s">
        <v>119</v>
      </c>
      <c r="J1" t="s">
        <v>123</v>
      </c>
      <c r="K1" t="s">
        <v>127</v>
      </c>
      <c r="L1" t="s">
        <v>131</v>
      </c>
      <c r="M1" t="s">
        <v>135</v>
      </c>
      <c r="N1" t="s">
        <v>139</v>
      </c>
      <c r="O1" t="s">
        <v>143</v>
      </c>
      <c r="P1" t="s">
        <v>147</v>
      </c>
      <c r="Q1" t="s">
        <v>150</v>
      </c>
      <c r="R1" t="s">
        <v>154</v>
      </c>
      <c r="S1" t="s">
        <v>157</v>
      </c>
      <c r="T1" t="s">
        <v>161</v>
      </c>
      <c r="U1" t="s">
        <v>164</v>
      </c>
      <c r="V1" t="s">
        <v>168</v>
      </c>
      <c r="W1" t="s">
        <v>172</v>
      </c>
      <c r="X1" t="s">
        <v>181</v>
      </c>
    </row>
    <row r="2" spans="1:24" x14ac:dyDescent="0.3">
      <c r="A2" t="s">
        <v>397</v>
      </c>
      <c r="B2">
        <v>1</v>
      </c>
      <c r="C2" t="s">
        <v>1</v>
      </c>
      <c r="D2" t="s">
        <v>182</v>
      </c>
      <c r="E2" s="8" t="s">
        <v>183</v>
      </c>
      <c r="F2" s="53">
        <v>46036</v>
      </c>
      <c r="G2" t="s">
        <v>184</v>
      </c>
      <c r="H2" s="8" t="s">
        <v>185</v>
      </c>
      <c r="I2">
        <v>0</v>
      </c>
      <c r="J2">
        <v>0</v>
      </c>
      <c r="K2">
        <v>0</v>
      </c>
      <c r="L2">
        <v>1</v>
      </c>
      <c r="M2">
        <v>0</v>
      </c>
      <c r="N2">
        <v>1</v>
      </c>
      <c r="O2">
        <v>0</v>
      </c>
      <c r="P2">
        <v>0</v>
      </c>
      <c r="Q2">
        <v>0</v>
      </c>
      <c r="R2">
        <v>0</v>
      </c>
      <c r="S2">
        <v>0</v>
      </c>
      <c r="T2">
        <v>0</v>
      </c>
      <c r="U2">
        <v>0</v>
      </c>
      <c r="V2">
        <v>0</v>
      </c>
      <c r="W2">
        <v>0</v>
      </c>
      <c r="X2" t="s">
        <v>186</v>
      </c>
    </row>
    <row r="3" spans="1:24" x14ac:dyDescent="0.3">
      <c r="A3" t="s">
        <v>398</v>
      </c>
      <c r="B3">
        <v>2</v>
      </c>
      <c r="C3" t="s">
        <v>1</v>
      </c>
      <c r="D3" t="s">
        <v>182</v>
      </c>
      <c r="E3" s="8" t="s">
        <v>183</v>
      </c>
      <c r="F3" s="53">
        <v>45920</v>
      </c>
      <c r="G3" t="s">
        <v>187</v>
      </c>
      <c r="H3" s="8" t="s">
        <v>188</v>
      </c>
      <c r="I3">
        <v>1</v>
      </c>
      <c r="J3">
        <v>0</v>
      </c>
      <c r="K3">
        <v>0</v>
      </c>
      <c r="L3">
        <v>0</v>
      </c>
      <c r="M3">
        <v>0</v>
      </c>
      <c r="N3">
        <v>0</v>
      </c>
      <c r="O3">
        <v>0</v>
      </c>
      <c r="P3">
        <v>0</v>
      </c>
      <c r="Q3">
        <v>0</v>
      </c>
      <c r="R3">
        <v>0</v>
      </c>
      <c r="S3">
        <v>1</v>
      </c>
      <c r="T3">
        <v>0</v>
      </c>
      <c r="U3">
        <v>0</v>
      </c>
      <c r="V3">
        <v>0</v>
      </c>
      <c r="W3">
        <v>0</v>
      </c>
      <c r="X3" t="s">
        <v>189</v>
      </c>
    </row>
    <row r="4" spans="1:24" x14ac:dyDescent="0.3">
      <c r="A4" t="s">
        <v>399</v>
      </c>
      <c r="B4">
        <v>3</v>
      </c>
      <c r="C4" t="s">
        <v>1</v>
      </c>
      <c r="D4" t="s">
        <v>182</v>
      </c>
      <c r="E4" s="8" t="s">
        <v>183</v>
      </c>
      <c r="F4" s="53">
        <v>45844</v>
      </c>
      <c r="G4" t="s">
        <v>187</v>
      </c>
      <c r="H4" s="8" t="s">
        <v>190</v>
      </c>
      <c r="I4">
        <v>0</v>
      </c>
      <c r="J4">
        <v>0</v>
      </c>
      <c r="K4">
        <v>0</v>
      </c>
      <c r="L4">
        <v>0</v>
      </c>
      <c r="M4">
        <v>0</v>
      </c>
      <c r="N4">
        <v>1</v>
      </c>
      <c r="O4">
        <v>0</v>
      </c>
      <c r="P4">
        <v>1</v>
      </c>
      <c r="Q4">
        <v>0</v>
      </c>
      <c r="R4">
        <v>0</v>
      </c>
      <c r="S4">
        <v>0</v>
      </c>
      <c r="T4">
        <v>0</v>
      </c>
      <c r="U4">
        <v>1</v>
      </c>
      <c r="V4">
        <v>0</v>
      </c>
      <c r="W4">
        <v>0</v>
      </c>
      <c r="X4" t="s">
        <v>191</v>
      </c>
    </row>
    <row r="5" spans="1:24" x14ac:dyDescent="0.3">
      <c r="A5" t="s">
        <v>400</v>
      </c>
      <c r="B5">
        <v>4</v>
      </c>
      <c r="C5" t="s">
        <v>1</v>
      </c>
      <c r="D5" t="s">
        <v>182</v>
      </c>
      <c r="E5" s="8" t="s">
        <v>183</v>
      </c>
      <c r="F5" s="53">
        <v>45807</v>
      </c>
      <c r="G5" t="s">
        <v>192</v>
      </c>
      <c r="H5" s="8" t="s">
        <v>728</v>
      </c>
      <c r="I5">
        <v>0</v>
      </c>
      <c r="J5">
        <v>0</v>
      </c>
      <c r="K5">
        <v>0</v>
      </c>
      <c r="L5">
        <v>1</v>
      </c>
      <c r="M5">
        <v>0</v>
      </c>
      <c r="N5">
        <v>1</v>
      </c>
      <c r="O5">
        <v>0</v>
      </c>
      <c r="P5">
        <v>0</v>
      </c>
      <c r="Q5">
        <v>0</v>
      </c>
      <c r="R5">
        <v>0</v>
      </c>
      <c r="S5">
        <v>0</v>
      </c>
      <c r="T5">
        <v>0</v>
      </c>
      <c r="U5">
        <v>1</v>
      </c>
      <c r="V5">
        <v>0</v>
      </c>
      <c r="W5">
        <v>0</v>
      </c>
      <c r="X5" t="s">
        <v>193</v>
      </c>
    </row>
    <row r="6" spans="1:24" x14ac:dyDescent="0.3">
      <c r="A6" t="s">
        <v>401</v>
      </c>
      <c r="B6">
        <v>5</v>
      </c>
      <c r="C6" t="s">
        <v>1</v>
      </c>
      <c r="D6" t="s">
        <v>182</v>
      </c>
      <c r="E6" s="8" t="s">
        <v>183</v>
      </c>
      <c r="F6" s="53">
        <v>45682</v>
      </c>
      <c r="G6" t="s">
        <v>194</v>
      </c>
      <c r="H6" s="8" t="s">
        <v>195</v>
      </c>
      <c r="I6">
        <v>1</v>
      </c>
      <c r="J6">
        <v>0</v>
      </c>
      <c r="K6">
        <v>0</v>
      </c>
      <c r="L6">
        <v>0</v>
      </c>
      <c r="M6">
        <v>0</v>
      </c>
      <c r="N6">
        <v>0</v>
      </c>
      <c r="O6">
        <v>0</v>
      </c>
      <c r="P6">
        <v>0</v>
      </c>
      <c r="Q6">
        <v>0</v>
      </c>
      <c r="R6">
        <v>0</v>
      </c>
      <c r="S6">
        <v>1</v>
      </c>
      <c r="T6">
        <v>0</v>
      </c>
      <c r="U6">
        <v>0</v>
      </c>
      <c r="V6">
        <v>0</v>
      </c>
      <c r="W6">
        <v>0</v>
      </c>
      <c r="X6" t="s">
        <v>196</v>
      </c>
    </row>
    <row r="7" spans="1:24" x14ac:dyDescent="0.3">
      <c r="A7" t="s">
        <v>402</v>
      </c>
      <c r="B7">
        <v>6</v>
      </c>
      <c r="C7" t="s">
        <v>1</v>
      </c>
      <c r="D7" t="s">
        <v>182</v>
      </c>
      <c r="E7" s="8" t="s">
        <v>183</v>
      </c>
      <c r="F7" s="53">
        <v>45639</v>
      </c>
      <c r="G7" t="s">
        <v>197</v>
      </c>
      <c r="H7" s="8" t="s">
        <v>198</v>
      </c>
      <c r="I7">
        <v>1</v>
      </c>
      <c r="J7">
        <v>0</v>
      </c>
      <c r="K7">
        <v>0</v>
      </c>
      <c r="L7">
        <v>0</v>
      </c>
      <c r="M7">
        <v>0</v>
      </c>
      <c r="N7">
        <v>0</v>
      </c>
      <c r="O7">
        <v>0</v>
      </c>
      <c r="P7">
        <v>0</v>
      </c>
      <c r="Q7">
        <v>0</v>
      </c>
      <c r="R7">
        <v>0</v>
      </c>
      <c r="S7">
        <v>1</v>
      </c>
      <c r="T7">
        <v>0</v>
      </c>
      <c r="U7">
        <v>0</v>
      </c>
      <c r="V7">
        <v>0</v>
      </c>
      <c r="W7">
        <v>0</v>
      </c>
      <c r="X7" t="s">
        <v>199</v>
      </c>
    </row>
    <row r="8" spans="1:24" x14ac:dyDescent="0.3">
      <c r="A8" t="s">
        <v>403</v>
      </c>
      <c r="B8">
        <v>7</v>
      </c>
      <c r="C8" t="s">
        <v>1</v>
      </c>
      <c r="D8" t="s">
        <v>182</v>
      </c>
      <c r="E8" s="8" t="s">
        <v>183</v>
      </c>
      <c r="F8" s="53">
        <v>45491</v>
      </c>
      <c r="G8" t="s">
        <v>200</v>
      </c>
      <c r="H8" s="8" t="s">
        <v>201</v>
      </c>
      <c r="I8">
        <v>1</v>
      </c>
      <c r="J8">
        <v>0</v>
      </c>
      <c r="K8">
        <v>0</v>
      </c>
      <c r="L8">
        <v>0</v>
      </c>
      <c r="M8">
        <v>0</v>
      </c>
      <c r="N8">
        <v>0</v>
      </c>
      <c r="O8">
        <v>0</v>
      </c>
      <c r="P8">
        <v>0</v>
      </c>
      <c r="Q8">
        <v>0</v>
      </c>
      <c r="R8">
        <v>0</v>
      </c>
      <c r="S8">
        <v>1</v>
      </c>
      <c r="T8">
        <v>0</v>
      </c>
      <c r="U8">
        <v>0</v>
      </c>
      <c r="V8">
        <v>0</v>
      </c>
      <c r="W8">
        <v>0</v>
      </c>
      <c r="X8" t="s">
        <v>202</v>
      </c>
    </row>
    <row r="9" spans="1:24" x14ac:dyDescent="0.3">
      <c r="A9" t="s">
        <v>404</v>
      </c>
      <c r="B9">
        <v>8</v>
      </c>
      <c r="C9" t="s">
        <v>1</v>
      </c>
      <c r="D9" t="s">
        <v>182</v>
      </c>
      <c r="E9" s="8" t="s">
        <v>183</v>
      </c>
      <c r="F9" s="53">
        <v>45349</v>
      </c>
      <c r="G9" t="s">
        <v>203</v>
      </c>
      <c r="H9" s="8" t="s">
        <v>204</v>
      </c>
      <c r="I9">
        <v>1</v>
      </c>
      <c r="J9">
        <v>0</v>
      </c>
      <c r="K9">
        <v>0</v>
      </c>
      <c r="L9">
        <v>0</v>
      </c>
      <c r="M9">
        <v>0</v>
      </c>
      <c r="N9">
        <v>0</v>
      </c>
      <c r="O9">
        <v>0</v>
      </c>
      <c r="P9">
        <v>0</v>
      </c>
      <c r="Q9">
        <v>0</v>
      </c>
      <c r="R9">
        <v>0</v>
      </c>
      <c r="S9">
        <v>1</v>
      </c>
      <c r="T9">
        <v>0</v>
      </c>
      <c r="U9">
        <v>0</v>
      </c>
      <c r="V9">
        <v>0</v>
      </c>
      <c r="W9">
        <v>0</v>
      </c>
      <c r="X9" t="s">
        <v>205</v>
      </c>
    </row>
    <row r="10" spans="1:24" x14ac:dyDescent="0.3">
      <c r="A10" t="s">
        <v>405</v>
      </c>
      <c r="B10">
        <v>9</v>
      </c>
      <c r="C10" t="s">
        <v>1</v>
      </c>
      <c r="D10" t="s">
        <v>182</v>
      </c>
      <c r="E10" s="8" t="s">
        <v>183</v>
      </c>
      <c r="F10" s="53">
        <v>45318</v>
      </c>
      <c r="G10" t="s">
        <v>203</v>
      </c>
      <c r="H10" s="8" t="s">
        <v>730</v>
      </c>
      <c r="I10">
        <v>0</v>
      </c>
      <c r="J10">
        <v>0</v>
      </c>
      <c r="K10">
        <v>0</v>
      </c>
      <c r="L10">
        <v>0</v>
      </c>
      <c r="M10">
        <v>0</v>
      </c>
      <c r="N10">
        <v>0</v>
      </c>
      <c r="O10">
        <v>0</v>
      </c>
      <c r="P10">
        <v>1</v>
      </c>
      <c r="Q10">
        <v>0</v>
      </c>
      <c r="R10">
        <v>0</v>
      </c>
      <c r="S10">
        <v>0</v>
      </c>
      <c r="T10">
        <v>0</v>
      </c>
      <c r="U10">
        <v>0</v>
      </c>
      <c r="V10">
        <v>0</v>
      </c>
      <c r="W10">
        <v>0</v>
      </c>
      <c r="X10" t="s">
        <v>206</v>
      </c>
    </row>
    <row r="11" spans="1:24" x14ac:dyDescent="0.3">
      <c r="A11" t="s">
        <v>406</v>
      </c>
      <c r="B11">
        <v>10</v>
      </c>
      <c r="C11" t="s">
        <v>1</v>
      </c>
      <c r="D11" t="s">
        <v>182</v>
      </c>
      <c r="E11" s="8" t="s">
        <v>183</v>
      </c>
      <c r="F11" s="53">
        <v>45284</v>
      </c>
      <c r="G11" t="s">
        <v>207</v>
      </c>
      <c r="H11" s="8" t="s">
        <v>208</v>
      </c>
      <c r="I11">
        <v>0</v>
      </c>
      <c r="J11">
        <v>1</v>
      </c>
      <c r="K11">
        <v>0</v>
      </c>
      <c r="L11">
        <v>1</v>
      </c>
      <c r="M11">
        <v>0</v>
      </c>
      <c r="N11">
        <v>1</v>
      </c>
      <c r="O11">
        <v>0</v>
      </c>
      <c r="P11">
        <v>0</v>
      </c>
      <c r="Q11">
        <v>0</v>
      </c>
      <c r="R11">
        <v>0</v>
      </c>
      <c r="S11">
        <v>0</v>
      </c>
      <c r="T11">
        <v>1</v>
      </c>
      <c r="U11">
        <v>0</v>
      </c>
      <c r="V11">
        <v>0</v>
      </c>
      <c r="W11">
        <v>0</v>
      </c>
      <c r="X11" t="s">
        <v>209</v>
      </c>
    </row>
    <row r="12" spans="1:24" x14ac:dyDescent="0.3">
      <c r="A12" t="s">
        <v>407</v>
      </c>
      <c r="B12">
        <v>11</v>
      </c>
      <c r="C12" t="s">
        <v>1</v>
      </c>
      <c r="D12" t="s">
        <v>182</v>
      </c>
      <c r="E12" s="8" t="s">
        <v>183</v>
      </c>
      <c r="F12" s="53">
        <v>45283</v>
      </c>
      <c r="G12" t="s">
        <v>207</v>
      </c>
      <c r="H12" s="8" t="s">
        <v>210</v>
      </c>
      <c r="I12">
        <v>1</v>
      </c>
      <c r="J12">
        <v>0</v>
      </c>
      <c r="K12">
        <v>0</v>
      </c>
      <c r="L12">
        <v>0</v>
      </c>
      <c r="M12">
        <v>0</v>
      </c>
      <c r="N12">
        <v>0</v>
      </c>
      <c r="O12">
        <v>0</v>
      </c>
      <c r="P12">
        <v>0</v>
      </c>
      <c r="Q12">
        <v>0</v>
      </c>
      <c r="R12">
        <v>0</v>
      </c>
      <c r="S12">
        <v>1</v>
      </c>
      <c r="T12">
        <v>0</v>
      </c>
      <c r="U12">
        <v>0</v>
      </c>
      <c r="V12">
        <v>0</v>
      </c>
      <c r="W12">
        <v>0</v>
      </c>
      <c r="X12" t="s">
        <v>205</v>
      </c>
    </row>
    <row r="13" spans="1:24" x14ac:dyDescent="0.3">
      <c r="A13" t="s">
        <v>408</v>
      </c>
      <c r="B13">
        <v>12</v>
      </c>
      <c r="C13" t="s">
        <v>1</v>
      </c>
      <c r="D13" t="s">
        <v>182</v>
      </c>
      <c r="E13" s="8" t="s">
        <v>183</v>
      </c>
      <c r="F13" s="53">
        <v>45222</v>
      </c>
      <c r="G13" t="s">
        <v>207</v>
      </c>
      <c r="H13" s="8" t="s">
        <v>211</v>
      </c>
      <c r="I13">
        <v>1</v>
      </c>
      <c r="J13">
        <v>0</v>
      </c>
      <c r="K13">
        <v>0</v>
      </c>
      <c r="L13">
        <v>0</v>
      </c>
      <c r="M13">
        <v>1</v>
      </c>
      <c r="N13">
        <v>1</v>
      </c>
      <c r="O13">
        <v>0</v>
      </c>
      <c r="P13">
        <v>0</v>
      </c>
      <c r="Q13">
        <v>0</v>
      </c>
      <c r="R13">
        <v>0</v>
      </c>
      <c r="S13">
        <v>0</v>
      </c>
      <c r="T13">
        <v>0</v>
      </c>
      <c r="U13">
        <v>0</v>
      </c>
      <c r="V13">
        <v>0</v>
      </c>
      <c r="W13">
        <v>0</v>
      </c>
      <c r="X13" t="s">
        <v>205</v>
      </c>
    </row>
    <row r="14" spans="1:24" x14ac:dyDescent="0.3">
      <c r="A14" t="s">
        <v>409</v>
      </c>
      <c r="B14">
        <v>13</v>
      </c>
      <c r="C14" t="s">
        <v>1</v>
      </c>
      <c r="D14" t="s">
        <v>182</v>
      </c>
      <c r="E14" s="8" t="s">
        <v>183</v>
      </c>
      <c r="F14" s="53">
        <v>45189</v>
      </c>
      <c r="G14" t="s">
        <v>212</v>
      </c>
      <c r="H14" s="8" t="s">
        <v>729</v>
      </c>
      <c r="I14">
        <v>0</v>
      </c>
      <c r="J14">
        <v>0</v>
      </c>
      <c r="K14">
        <v>0</v>
      </c>
      <c r="L14">
        <v>1</v>
      </c>
      <c r="M14">
        <v>0</v>
      </c>
      <c r="N14">
        <v>1</v>
      </c>
      <c r="O14">
        <v>0</v>
      </c>
      <c r="P14">
        <v>0</v>
      </c>
      <c r="Q14">
        <v>0</v>
      </c>
      <c r="R14">
        <v>0</v>
      </c>
      <c r="S14">
        <v>0</v>
      </c>
      <c r="T14">
        <v>0</v>
      </c>
      <c r="U14">
        <v>1</v>
      </c>
      <c r="V14">
        <v>0</v>
      </c>
      <c r="W14">
        <v>0</v>
      </c>
      <c r="X14" t="s">
        <v>213</v>
      </c>
    </row>
    <row r="15" spans="1:24" x14ac:dyDescent="0.3">
      <c r="A15" t="s">
        <v>410</v>
      </c>
      <c r="B15">
        <v>14</v>
      </c>
      <c r="C15" t="s">
        <v>1</v>
      </c>
      <c r="D15" t="s">
        <v>182</v>
      </c>
      <c r="E15" s="8" t="s">
        <v>183</v>
      </c>
      <c r="F15" s="53">
        <v>45176</v>
      </c>
      <c r="G15" t="s">
        <v>212</v>
      </c>
      <c r="H15" s="8" t="s">
        <v>214</v>
      </c>
      <c r="I15">
        <v>1</v>
      </c>
      <c r="J15">
        <v>0</v>
      </c>
      <c r="K15">
        <v>1</v>
      </c>
      <c r="L15">
        <v>0</v>
      </c>
      <c r="M15">
        <v>0</v>
      </c>
      <c r="N15">
        <v>0</v>
      </c>
      <c r="O15">
        <v>0</v>
      </c>
      <c r="P15">
        <v>0</v>
      </c>
      <c r="Q15">
        <v>0</v>
      </c>
      <c r="R15">
        <v>0</v>
      </c>
      <c r="S15">
        <v>0</v>
      </c>
      <c r="T15">
        <v>0</v>
      </c>
      <c r="U15">
        <v>0</v>
      </c>
      <c r="V15">
        <v>0</v>
      </c>
      <c r="W15">
        <v>0</v>
      </c>
      <c r="X15" t="s">
        <v>215</v>
      </c>
    </row>
    <row r="16" spans="1:24" x14ac:dyDescent="0.3">
      <c r="A16" t="s">
        <v>411</v>
      </c>
      <c r="B16">
        <v>15</v>
      </c>
      <c r="C16" t="s">
        <v>1</v>
      </c>
      <c r="D16" t="s">
        <v>182</v>
      </c>
      <c r="E16" s="8" t="s">
        <v>183</v>
      </c>
      <c r="F16" s="53">
        <v>44980</v>
      </c>
      <c r="G16" t="s">
        <v>216</v>
      </c>
      <c r="H16" s="8" t="s">
        <v>217</v>
      </c>
      <c r="I16">
        <v>0</v>
      </c>
      <c r="J16">
        <v>0</v>
      </c>
      <c r="K16">
        <v>0</v>
      </c>
      <c r="L16">
        <v>0</v>
      </c>
      <c r="M16">
        <v>0</v>
      </c>
      <c r="N16">
        <v>0</v>
      </c>
      <c r="O16">
        <v>0</v>
      </c>
      <c r="P16">
        <v>1</v>
      </c>
      <c r="Q16">
        <v>0</v>
      </c>
      <c r="R16">
        <v>0</v>
      </c>
      <c r="S16">
        <v>0</v>
      </c>
      <c r="T16">
        <v>0</v>
      </c>
      <c r="U16">
        <v>0</v>
      </c>
      <c r="V16">
        <v>0</v>
      </c>
      <c r="W16">
        <v>0</v>
      </c>
      <c r="X16" t="s">
        <v>206</v>
      </c>
    </row>
    <row r="17" spans="1:24" x14ac:dyDescent="0.3">
      <c r="A17" t="s">
        <v>412</v>
      </c>
      <c r="B17">
        <v>16</v>
      </c>
      <c r="C17" t="s">
        <v>1</v>
      </c>
      <c r="D17" t="s">
        <v>182</v>
      </c>
      <c r="E17" s="8" t="s">
        <v>183</v>
      </c>
      <c r="F17" s="53">
        <v>44969</v>
      </c>
      <c r="G17" t="s">
        <v>216</v>
      </c>
      <c r="H17" s="8" t="s">
        <v>218</v>
      </c>
      <c r="I17">
        <v>0</v>
      </c>
      <c r="J17">
        <v>0</v>
      </c>
      <c r="K17">
        <v>0</v>
      </c>
      <c r="L17">
        <v>0</v>
      </c>
      <c r="M17">
        <v>0</v>
      </c>
      <c r="N17">
        <v>0</v>
      </c>
      <c r="O17">
        <v>0</v>
      </c>
      <c r="P17">
        <v>1</v>
      </c>
      <c r="Q17">
        <v>0</v>
      </c>
      <c r="R17">
        <v>0</v>
      </c>
      <c r="S17">
        <v>0</v>
      </c>
      <c r="T17">
        <v>0</v>
      </c>
      <c r="U17">
        <v>0</v>
      </c>
      <c r="V17">
        <v>0</v>
      </c>
      <c r="W17">
        <v>0</v>
      </c>
      <c r="X17" t="s">
        <v>206</v>
      </c>
    </row>
    <row r="18" spans="1:24" x14ac:dyDescent="0.3">
      <c r="A18" t="s">
        <v>413</v>
      </c>
      <c r="B18">
        <v>17</v>
      </c>
      <c r="C18" t="s">
        <v>1</v>
      </c>
      <c r="D18" t="s">
        <v>182</v>
      </c>
      <c r="E18" s="8" t="s">
        <v>183</v>
      </c>
      <c r="F18" s="53">
        <v>44940</v>
      </c>
      <c r="G18" t="s">
        <v>216</v>
      </c>
      <c r="H18" s="8" t="s">
        <v>219</v>
      </c>
      <c r="I18">
        <v>0</v>
      </c>
      <c r="J18">
        <v>0</v>
      </c>
      <c r="K18">
        <v>0</v>
      </c>
      <c r="L18">
        <v>0</v>
      </c>
      <c r="M18">
        <v>0</v>
      </c>
      <c r="N18">
        <v>0</v>
      </c>
      <c r="O18">
        <v>0</v>
      </c>
      <c r="P18">
        <v>1</v>
      </c>
      <c r="Q18">
        <v>0</v>
      </c>
      <c r="R18">
        <v>0</v>
      </c>
      <c r="S18">
        <v>0</v>
      </c>
      <c r="T18">
        <v>0</v>
      </c>
      <c r="U18">
        <v>0</v>
      </c>
      <c r="V18">
        <v>0</v>
      </c>
      <c r="W18">
        <v>0</v>
      </c>
      <c r="X18" t="s">
        <v>206</v>
      </c>
    </row>
    <row r="19" spans="1:24" x14ac:dyDescent="0.3">
      <c r="A19" t="s">
        <v>414</v>
      </c>
      <c r="B19">
        <v>18</v>
      </c>
      <c r="C19" t="s">
        <v>1</v>
      </c>
      <c r="D19" t="s">
        <v>182</v>
      </c>
      <c r="E19" s="8" t="s">
        <v>220</v>
      </c>
      <c r="F19" s="53">
        <v>46053</v>
      </c>
      <c r="G19" t="s">
        <v>184</v>
      </c>
      <c r="H19" s="8" t="s">
        <v>221</v>
      </c>
      <c r="I19">
        <v>0</v>
      </c>
      <c r="J19">
        <v>0</v>
      </c>
      <c r="K19">
        <v>0</v>
      </c>
      <c r="L19">
        <v>0</v>
      </c>
      <c r="M19">
        <v>0</v>
      </c>
      <c r="N19">
        <v>1</v>
      </c>
      <c r="O19">
        <v>0</v>
      </c>
      <c r="P19">
        <v>0</v>
      </c>
      <c r="Q19">
        <v>0</v>
      </c>
      <c r="R19">
        <v>1</v>
      </c>
      <c r="S19">
        <v>0</v>
      </c>
      <c r="T19">
        <v>1</v>
      </c>
      <c r="U19">
        <v>0</v>
      </c>
      <c r="V19">
        <v>0</v>
      </c>
      <c r="W19">
        <v>0</v>
      </c>
      <c r="X19" t="s">
        <v>222</v>
      </c>
    </row>
    <row r="20" spans="1:24" x14ac:dyDescent="0.3">
      <c r="A20" t="s">
        <v>415</v>
      </c>
      <c r="B20">
        <v>19</v>
      </c>
      <c r="C20" t="s">
        <v>1</v>
      </c>
      <c r="D20" t="s">
        <v>182</v>
      </c>
      <c r="E20" s="8" t="s">
        <v>220</v>
      </c>
      <c r="F20" s="53">
        <v>46025</v>
      </c>
      <c r="G20" t="s">
        <v>184</v>
      </c>
      <c r="H20" s="8" t="s">
        <v>223</v>
      </c>
      <c r="I20">
        <v>1</v>
      </c>
      <c r="J20">
        <v>0</v>
      </c>
      <c r="K20">
        <v>0</v>
      </c>
      <c r="L20">
        <v>0</v>
      </c>
      <c r="M20">
        <v>1</v>
      </c>
      <c r="N20">
        <v>0</v>
      </c>
      <c r="O20">
        <v>1</v>
      </c>
      <c r="P20">
        <v>0</v>
      </c>
      <c r="Q20">
        <v>0</v>
      </c>
      <c r="R20">
        <v>0</v>
      </c>
      <c r="S20">
        <v>0</v>
      </c>
      <c r="T20">
        <v>0</v>
      </c>
      <c r="U20">
        <v>0</v>
      </c>
      <c r="V20">
        <v>0</v>
      </c>
      <c r="W20">
        <v>0</v>
      </c>
      <c r="X20" t="s">
        <v>224</v>
      </c>
    </row>
    <row r="21" spans="1:24" x14ac:dyDescent="0.3">
      <c r="A21" t="s">
        <v>416</v>
      </c>
      <c r="B21">
        <v>20</v>
      </c>
      <c r="C21" t="s">
        <v>1</v>
      </c>
      <c r="D21" t="s">
        <v>182</v>
      </c>
      <c r="E21" s="8" t="s">
        <v>220</v>
      </c>
      <c r="F21" s="53">
        <v>46006</v>
      </c>
      <c r="G21" t="s">
        <v>225</v>
      </c>
      <c r="H21" s="8" t="s">
        <v>226</v>
      </c>
      <c r="I21">
        <v>0</v>
      </c>
      <c r="J21">
        <v>0</v>
      </c>
      <c r="K21">
        <v>0</v>
      </c>
      <c r="L21">
        <v>0</v>
      </c>
      <c r="M21">
        <v>0</v>
      </c>
      <c r="N21">
        <v>1</v>
      </c>
      <c r="O21">
        <v>0</v>
      </c>
      <c r="P21">
        <v>0</v>
      </c>
      <c r="Q21">
        <v>0</v>
      </c>
      <c r="R21">
        <v>1</v>
      </c>
      <c r="S21">
        <v>0</v>
      </c>
      <c r="T21">
        <v>1</v>
      </c>
      <c r="U21">
        <v>0</v>
      </c>
      <c r="V21">
        <v>0</v>
      </c>
      <c r="W21">
        <v>0</v>
      </c>
      <c r="X21" t="s">
        <v>227</v>
      </c>
    </row>
    <row r="22" spans="1:24" x14ac:dyDescent="0.3">
      <c r="A22" t="s">
        <v>417</v>
      </c>
      <c r="B22">
        <v>21</v>
      </c>
      <c r="C22" t="s">
        <v>1</v>
      </c>
      <c r="D22" t="s">
        <v>182</v>
      </c>
      <c r="E22" s="8" t="s">
        <v>220</v>
      </c>
      <c r="F22" s="53">
        <v>46002</v>
      </c>
      <c r="G22" t="s">
        <v>225</v>
      </c>
      <c r="H22" s="8" t="s">
        <v>228</v>
      </c>
      <c r="I22">
        <v>0</v>
      </c>
      <c r="J22">
        <v>0</v>
      </c>
      <c r="K22">
        <v>0</v>
      </c>
      <c r="L22">
        <v>0</v>
      </c>
      <c r="M22">
        <v>0</v>
      </c>
      <c r="N22">
        <v>1</v>
      </c>
      <c r="O22">
        <v>0</v>
      </c>
      <c r="P22">
        <v>0</v>
      </c>
      <c r="Q22">
        <v>0</v>
      </c>
      <c r="R22">
        <v>1</v>
      </c>
      <c r="S22">
        <v>0</v>
      </c>
      <c r="T22">
        <v>1</v>
      </c>
      <c r="U22">
        <v>0</v>
      </c>
      <c r="V22">
        <v>0</v>
      </c>
      <c r="W22">
        <v>0</v>
      </c>
      <c r="X22" t="s">
        <v>229</v>
      </c>
    </row>
    <row r="23" spans="1:24" x14ac:dyDescent="0.3">
      <c r="A23" t="s">
        <v>418</v>
      </c>
      <c r="B23">
        <v>22</v>
      </c>
      <c r="C23" t="s">
        <v>1</v>
      </c>
      <c r="D23" t="s">
        <v>182</v>
      </c>
      <c r="E23" s="8" t="s">
        <v>220</v>
      </c>
      <c r="F23" s="53">
        <v>46001</v>
      </c>
      <c r="G23" t="s">
        <v>225</v>
      </c>
      <c r="H23" s="8" t="s">
        <v>230</v>
      </c>
      <c r="I23">
        <v>0</v>
      </c>
      <c r="J23">
        <v>1</v>
      </c>
      <c r="K23">
        <v>0</v>
      </c>
      <c r="L23">
        <v>0</v>
      </c>
      <c r="M23">
        <v>0</v>
      </c>
      <c r="N23">
        <v>0</v>
      </c>
      <c r="O23">
        <v>0</v>
      </c>
      <c r="P23">
        <v>0</v>
      </c>
      <c r="Q23">
        <v>0</v>
      </c>
      <c r="R23">
        <v>0</v>
      </c>
      <c r="S23">
        <v>0</v>
      </c>
      <c r="T23">
        <v>1</v>
      </c>
      <c r="U23">
        <v>0</v>
      </c>
      <c r="V23">
        <v>0</v>
      </c>
      <c r="W23">
        <v>0</v>
      </c>
      <c r="X23" t="s">
        <v>231</v>
      </c>
    </row>
    <row r="24" spans="1:24" x14ac:dyDescent="0.3">
      <c r="A24" t="s">
        <v>419</v>
      </c>
      <c r="B24">
        <v>23</v>
      </c>
      <c r="C24" t="s">
        <v>1</v>
      </c>
      <c r="D24" t="s">
        <v>182</v>
      </c>
      <c r="E24" s="8" t="s">
        <v>220</v>
      </c>
      <c r="F24" s="53">
        <v>45981</v>
      </c>
      <c r="G24" t="s">
        <v>225</v>
      </c>
      <c r="H24" s="8" t="s">
        <v>232</v>
      </c>
      <c r="I24">
        <v>0</v>
      </c>
      <c r="J24">
        <v>0</v>
      </c>
      <c r="K24">
        <v>0</v>
      </c>
      <c r="L24">
        <v>0</v>
      </c>
      <c r="M24">
        <v>0</v>
      </c>
      <c r="N24">
        <v>1</v>
      </c>
      <c r="O24">
        <v>0</v>
      </c>
      <c r="P24">
        <v>0</v>
      </c>
      <c r="Q24">
        <v>0</v>
      </c>
      <c r="R24">
        <v>1</v>
      </c>
      <c r="S24">
        <v>0</v>
      </c>
      <c r="T24">
        <v>1</v>
      </c>
      <c r="U24">
        <v>0</v>
      </c>
      <c r="V24">
        <v>0</v>
      </c>
      <c r="W24">
        <v>0</v>
      </c>
      <c r="X24" t="s">
        <v>233</v>
      </c>
    </row>
    <row r="25" spans="1:24" x14ac:dyDescent="0.3">
      <c r="A25" t="s">
        <v>420</v>
      </c>
      <c r="B25">
        <v>24</v>
      </c>
      <c r="C25" t="s">
        <v>1</v>
      </c>
      <c r="D25" t="s">
        <v>182</v>
      </c>
      <c r="E25" s="8" t="s">
        <v>220</v>
      </c>
      <c r="F25" s="53">
        <v>45976</v>
      </c>
      <c r="G25" t="s">
        <v>225</v>
      </c>
      <c r="H25" s="8" t="s">
        <v>234</v>
      </c>
      <c r="I25">
        <v>0</v>
      </c>
      <c r="J25">
        <v>0</v>
      </c>
      <c r="K25">
        <v>0</v>
      </c>
      <c r="L25">
        <v>0</v>
      </c>
      <c r="M25">
        <v>0</v>
      </c>
      <c r="N25">
        <v>1</v>
      </c>
      <c r="O25">
        <v>0</v>
      </c>
      <c r="P25">
        <v>0</v>
      </c>
      <c r="Q25">
        <v>0</v>
      </c>
      <c r="R25">
        <v>1</v>
      </c>
      <c r="S25">
        <v>0</v>
      </c>
      <c r="T25">
        <v>1</v>
      </c>
      <c r="U25">
        <v>0</v>
      </c>
      <c r="V25">
        <v>0</v>
      </c>
      <c r="W25">
        <v>0</v>
      </c>
      <c r="X25" t="s">
        <v>235</v>
      </c>
    </row>
    <row r="26" spans="1:24" x14ac:dyDescent="0.3">
      <c r="A26" t="s">
        <v>421</v>
      </c>
      <c r="B26">
        <v>25</v>
      </c>
      <c r="C26" t="s">
        <v>1</v>
      </c>
      <c r="D26" t="s">
        <v>182</v>
      </c>
      <c r="E26" s="8" t="s">
        <v>220</v>
      </c>
      <c r="F26" s="53">
        <v>45972</v>
      </c>
      <c r="G26" t="s">
        <v>225</v>
      </c>
      <c r="H26" s="8" t="s">
        <v>236</v>
      </c>
      <c r="I26">
        <v>0</v>
      </c>
      <c r="J26">
        <v>0</v>
      </c>
      <c r="K26">
        <v>0</v>
      </c>
      <c r="L26">
        <v>1</v>
      </c>
      <c r="M26">
        <v>0</v>
      </c>
      <c r="N26">
        <v>1</v>
      </c>
      <c r="O26">
        <v>0</v>
      </c>
      <c r="P26">
        <v>0</v>
      </c>
      <c r="Q26">
        <v>0</v>
      </c>
      <c r="R26">
        <v>1</v>
      </c>
      <c r="S26">
        <v>0</v>
      </c>
      <c r="T26">
        <v>1</v>
      </c>
      <c r="U26">
        <v>0</v>
      </c>
      <c r="V26">
        <v>0</v>
      </c>
      <c r="W26">
        <v>0</v>
      </c>
      <c r="X26" t="s">
        <v>237</v>
      </c>
    </row>
    <row r="27" spans="1:24" x14ac:dyDescent="0.3">
      <c r="A27" t="s">
        <v>422</v>
      </c>
      <c r="B27">
        <v>26</v>
      </c>
      <c r="C27" t="s">
        <v>1</v>
      </c>
      <c r="D27" t="s">
        <v>182</v>
      </c>
      <c r="E27" s="8" t="s">
        <v>220</v>
      </c>
      <c r="F27" s="53">
        <v>45954</v>
      </c>
      <c r="G27" t="s">
        <v>225</v>
      </c>
      <c r="H27" s="8" t="s">
        <v>238</v>
      </c>
      <c r="I27">
        <v>0</v>
      </c>
      <c r="J27">
        <v>0</v>
      </c>
      <c r="K27">
        <v>0</v>
      </c>
      <c r="L27">
        <v>0</v>
      </c>
      <c r="M27">
        <v>0</v>
      </c>
      <c r="N27">
        <v>1</v>
      </c>
      <c r="O27">
        <v>0</v>
      </c>
      <c r="P27">
        <v>0</v>
      </c>
      <c r="Q27">
        <v>0</v>
      </c>
      <c r="R27">
        <v>1</v>
      </c>
      <c r="S27">
        <v>0</v>
      </c>
      <c r="T27">
        <v>1</v>
      </c>
      <c r="U27">
        <v>0</v>
      </c>
      <c r="V27">
        <v>0</v>
      </c>
      <c r="W27">
        <v>0</v>
      </c>
      <c r="X27" t="s">
        <v>239</v>
      </c>
    </row>
    <row r="28" spans="1:24" x14ac:dyDescent="0.3">
      <c r="A28" t="s">
        <v>423</v>
      </c>
      <c r="B28">
        <v>27</v>
      </c>
      <c r="C28" t="s">
        <v>1</v>
      </c>
      <c r="D28" t="s">
        <v>182</v>
      </c>
      <c r="E28" s="8" t="s">
        <v>220</v>
      </c>
      <c r="F28" s="53">
        <v>45926</v>
      </c>
      <c r="G28" t="s">
        <v>187</v>
      </c>
      <c r="H28" s="8" t="s">
        <v>240</v>
      </c>
      <c r="I28">
        <v>0</v>
      </c>
      <c r="J28">
        <v>1</v>
      </c>
      <c r="K28">
        <v>0</v>
      </c>
      <c r="L28">
        <v>0</v>
      </c>
      <c r="M28">
        <v>0</v>
      </c>
      <c r="N28">
        <v>1</v>
      </c>
      <c r="O28">
        <v>0</v>
      </c>
      <c r="P28">
        <v>0</v>
      </c>
      <c r="Q28">
        <v>0</v>
      </c>
      <c r="R28">
        <v>0</v>
      </c>
      <c r="S28">
        <v>0</v>
      </c>
      <c r="T28">
        <v>1</v>
      </c>
      <c r="U28">
        <v>0</v>
      </c>
      <c r="V28">
        <v>0</v>
      </c>
      <c r="W28">
        <v>0</v>
      </c>
      <c r="X28" t="s">
        <v>241</v>
      </c>
    </row>
    <row r="29" spans="1:24" x14ac:dyDescent="0.3">
      <c r="A29" t="s">
        <v>424</v>
      </c>
      <c r="B29">
        <v>28</v>
      </c>
      <c r="C29" t="s">
        <v>1</v>
      </c>
      <c r="D29" t="s">
        <v>182</v>
      </c>
      <c r="E29" s="8" t="s">
        <v>220</v>
      </c>
      <c r="F29" s="53">
        <v>45808</v>
      </c>
      <c r="G29" t="s">
        <v>192</v>
      </c>
      <c r="H29" s="8" t="s">
        <v>242</v>
      </c>
      <c r="I29">
        <v>0</v>
      </c>
      <c r="J29">
        <v>0</v>
      </c>
      <c r="K29">
        <v>0</v>
      </c>
      <c r="L29">
        <v>0</v>
      </c>
      <c r="M29">
        <v>0</v>
      </c>
      <c r="N29">
        <v>1</v>
      </c>
      <c r="O29">
        <v>0</v>
      </c>
      <c r="P29">
        <v>0</v>
      </c>
      <c r="Q29">
        <v>0</v>
      </c>
      <c r="R29">
        <v>0</v>
      </c>
      <c r="S29">
        <v>0</v>
      </c>
      <c r="T29">
        <v>0</v>
      </c>
      <c r="U29">
        <v>0</v>
      </c>
      <c r="V29">
        <v>0</v>
      </c>
      <c r="W29">
        <v>0</v>
      </c>
      <c r="X29" t="s">
        <v>243</v>
      </c>
    </row>
    <row r="30" spans="1:24" x14ac:dyDescent="0.3">
      <c r="A30" t="s">
        <v>425</v>
      </c>
      <c r="B30">
        <v>29</v>
      </c>
      <c r="C30" t="s">
        <v>1</v>
      </c>
      <c r="D30" t="s">
        <v>182</v>
      </c>
      <c r="E30" s="8" t="s">
        <v>220</v>
      </c>
      <c r="F30" s="53">
        <v>45785</v>
      </c>
      <c r="G30" t="s">
        <v>192</v>
      </c>
      <c r="H30" s="8" t="s">
        <v>244</v>
      </c>
      <c r="I30">
        <v>0</v>
      </c>
      <c r="J30">
        <v>0</v>
      </c>
      <c r="K30">
        <v>0</v>
      </c>
      <c r="L30">
        <v>0</v>
      </c>
      <c r="M30">
        <v>0</v>
      </c>
      <c r="N30">
        <v>1</v>
      </c>
      <c r="O30">
        <v>0</v>
      </c>
      <c r="P30">
        <v>0</v>
      </c>
      <c r="Q30">
        <v>0</v>
      </c>
      <c r="R30">
        <v>1</v>
      </c>
      <c r="S30">
        <v>0</v>
      </c>
      <c r="T30">
        <v>1</v>
      </c>
      <c r="U30">
        <v>0</v>
      </c>
      <c r="V30">
        <v>0</v>
      </c>
      <c r="W30">
        <v>0</v>
      </c>
      <c r="X30" t="s">
        <v>245</v>
      </c>
    </row>
    <row r="31" spans="1:24" x14ac:dyDescent="0.3">
      <c r="A31" t="s">
        <v>426</v>
      </c>
      <c r="B31">
        <v>30</v>
      </c>
      <c r="C31" t="s">
        <v>1</v>
      </c>
      <c r="D31" t="s">
        <v>182</v>
      </c>
      <c r="E31" s="8" t="s">
        <v>220</v>
      </c>
      <c r="F31" s="53">
        <v>45699</v>
      </c>
      <c r="G31" t="s">
        <v>194</v>
      </c>
      <c r="H31" s="8" t="s">
        <v>246</v>
      </c>
      <c r="I31">
        <v>0</v>
      </c>
      <c r="J31">
        <v>0</v>
      </c>
      <c r="K31">
        <v>0</v>
      </c>
      <c r="L31">
        <v>0</v>
      </c>
      <c r="M31">
        <v>0</v>
      </c>
      <c r="N31">
        <v>1</v>
      </c>
      <c r="O31">
        <v>0</v>
      </c>
      <c r="P31">
        <v>0</v>
      </c>
      <c r="Q31">
        <v>0</v>
      </c>
      <c r="R31">
        <v>1</v>
      </c>
      <c r="S31">
        <v>0</v>
      </c>
      <c r="T31">
        <v>1</v>
      </c>
      <c r="U31">
        <v>0</v>
      </c>
      <c r="V31">
        <v>0</v>
      </c>
      <c r="W31">
        <v>0</v>
      </c>
      <c r="X31" t="s">
        <v>247</v>
      </c>
    </row>
    <row r="32" spans="1:24" x14ac:dyDescent="0.3">
      <c r="A32" t="s">
        <v>427</v>
      </c>
      <c r="B32">
        <v>31</v>
      </c>
      <c r="C32" t="s">
        <v>1</v>
      </c>
      <c r="D32" t="s">
        <v>182</v>
      </c>
      <c r="E32" s="8" t="s">
        <v>220</v>
      </c>
      <c r="F32" s="53">
        <v>45611</v>
      </c>
      <c r="G32" t="s">
        <v>197</v>
      </c>
      <c r="H32" s="8" t="s">
        <v>248</v>
      </c>
      <c r="I32">
        <v>0</v>
      </c>
      <c r="J32">
        <v>1</v>
      </c>
      <c r="K32">
        <v>0</v>
      </c>
      <c r="L32">
        <v>0</v>
      </c>
      <c r="M32">
        <v>0</v>
      </c>
      <c r="N32">
        <v>1</v>
      </c>
      <c r="O32">
        <v>0</v>
      </c>
      <c r="P32">
        <v>0</v>
      </c>
      <c r="Q32">
        <v>0</v>
      </c>
      <c r="R32">
        <v>1</v>
      </c>
      <c r="S32">
        <v>0</v>
      </c>
      <c r="T32">
        <v>1</v>
      </c>
      <c r="U32">
        <v>0</v>
      </c>
      <c r="V32">
        <v>0</v>
      </c>
      <c r="W32">
        <v>0</v>
      </c>
      <c r="X32" t="s">
        <v>249</v>
      </c>
    </row>
    <row r="33" spans="1:24" x14ac:dyDescent="0.3">
      <c r="A33" t="s">
        <v>428</v>
      </c>
      <c r="B33">
        <v>32</v>
      </c>
      <c r="C33" t="s">
        <v>1</v>
      </c>
      <c r="D33" t="s">
        <v>182</v>
      </c>
      <c r="E33" s="8" t="s">
        <v>220</v>
      </c>
      <c r="F33" s="53">
        <v>45566</v>
      </c>
      <c r="G33" t="s">
        <v>197</v>
      </c>
      <c r="H33" s="8" t="s">
        <v>250</v>
      </c>
      <c r="I33">
        <v>0</v>
      </c>
      <c r="J33">
        <v>0</v>
      </c>
      <c r="K33">
        <v>0</v>
      </c>
      <c r="L33">
        <v>0</v>
      </c>
      <c r="M33">
        <v>0</v>
      </c>
      <c r="N33">
        <v>1</v>
      </c>
      <c r="O33">
        <v>0</v>
      </c>
      <c r="P33">
        <v>0</v>
      </c>
      <c r="Q33">
        <v>0</v>
      </c>
      <c r="R33">
        <v>1</v>
      </c>
      <c r="S33">
        <v>0</v>
      </c>
      <c r="T33">
        <v>1</v>
      </c>
      <c r="U33">
        <v>0</v>
      </c>
      <c r="V33">
        <v>0</v>
      </c>
      <c r="W33">
        <v>0</v>
      </c>
      <c r="X33" t="s">
        <v>251</v>
      </c>
    </row>
    <row r="34" spans="1:24" x14ac:dyDescent="0.3">
      <c r="A34" t="s">
        <v>429</v>
      </c>
      <c r="B34">
        <v>33</v>
      </c>
      <c r="C34" t="s">
        <v>1</v>
      </c>
      <c r="D34" t="s">
        <v>182</v>
      </c>
      <c r="E34" s="8" t="s">
        <v>220</v>
      </c>
      <c r="F34" s="53">
        <v>45551</v>
      </c>
      <c r="G34" t="s">
        <v>200</v>
      </c>
      <c r="H34" s="8" t="s">
        <v>252</v>
      </c>
      <c r="I34">
        <v>0</v>
      </c>
      <c r="J34">
        <v>0</v>
      </c>
      <c r="K34">
        <v>0</v>
      </c>
      <c r="L34">
        <v>0</v>
      </c>
      <c r="M34">
        <v>0</v>
      </c>
      <c r="N34">
        <v>1</v>
      </c>
      <c r="O34">
        <v>0</v>
      </c>
      <c r="P34">
        <v>0</v>
      </c>
      <c r="Q34">
        <v>0</v>
      </c>
      <c r="R34">
        <v>1</v>
      </c>
      <c r="S34">
        <v>0</v>
      </c>
      <c r="T34">
        <v>1</v>
      </c>
      <c r="U34">
        <v>0</v>
      </c>
      <c r="V34">
        <v>0</v>
      </c>
      <c r="W34">
        <v>0</v>
      </c>
      <c r="X34" t="s">
        <v>253</v>
      </c>
    </row>
    <row r="35" spans="1:24" x14ac:dyDescent="0.3">
      <c r="A35" t="s">
        <v>430</v>
      </c>
      <c r="B35">
        <v>34</v>
      </c>
      <c r="C35" t="s">
        <v>1</v>
      </c>
      <c r="D35" t="s">
        <v>182</v>
      </c>
      <c r="E35" s="8" t="s">
        <v>220</v>
      </c>
      <c r="F35" s="53">
        <v>45538</v>
      </c>
      <c r="G35" t="s">
        <v>200</v>
      </c>
      <c r="H35" s="8" t="s">
        <v>254</v>
      </c>
      <c r="I35">
        <v>0</v>
      </c>
      <c r="J35">
        <v>0</v>
      </c>
      <c r="K35">
        <v>0</v>
      </c>
      <c r="L35">
        <v>0</v>
      </c>
      <c r="M35">
        <v>0</v>
      </c>
      <c r="N35">
        <v>1</v>
      </c>
      <c r="O35">
        <v>0</v>
      </c>
      <c r="P35">
        <v>0</v>
      </c>
      <c r="Q35">
        <v>0</v>
      </c>
      <c r="R35">
        <v>1</v>
      </c>
      <c r="S35">
        <v>0</v>
      </c>
      <c r="T35">
        <v>1</v>
      </c>
      <c r="U35">
        <v>0</v>
      </c>
      <c r="V35">
        <v>0</v>
      </c>
      <c r="W35">
        <v>0</v>
      </c>
      <c r="X35" t="s">
        <v>255</v>
      </c>
    </row>
    <row r="36" spans="1:24" x14ac:dyDescent="0.3">
      <c r="A36" t="s">
        <v>431</v>
      </c>
      <c r="B36">
        <v>35</v>
      </c>
      <c r="C36" t="s">
        <v>1</v>
      </c>
      <c r="D36" t="s">
        <v>182</v>
      </c>
      <c r="E36" s="8" t="s">
        <v>220</v>
      </c>
      <c r="F36" s="53">
        <v>45529</v>
      </c>
      <c r="G36" t="s">
        <v>200</v>
      </c>
      <c r="H36" s="8" t="s">
        <v>256</v>
      </c>
      <c r="I36">
        <v>0</v>
      </c>
      <c r="J36">
        <v>0</v>
      </c>
      <c r="K36">
        <v>0</v>
      </c>
      <c r="L36">
        <v>0</v>
      </c>
      <c r="M36">
        <v>0</v>
      </c>
      <c r="N36">
        <v>1</v>
      </c>
      <c r="O36">
        <v>0</v>
      </c>
      <c r="P36">
        <v>0</v>
      </c>
      <c r="Q36">
        <v>0</v>
      </c>
      <c r="R36">
        <v>1</v>
      </c>
      <c r="S36">
        <v>0</v>
      </c>
      <c r="T36">
        <v>1</v>
      </c>
      <c r="U36">
        <v>0</v>
      </c>
      <c r="V36">
        <v>0</v>
      </c>
      <c r="W36">
        <v>0</v>
      </c>
      <c r="X36" t="s">
        <v>257</v>
      </c>
    </row>
    <row r="37" spans="1:24" x14ac:dyDescent="0.3">
      <c r="A37" t="s">
        <v>432</v>
      </c>
      <c r="B37">
        <v>36</v>
      </c>
      <c r="C37" t="s">
        <v>1</v>
      </c>
      <c r="D37" t="s">
        <v>182</v>
      </c>
      <c r="E37" s="8" t="s">
        <v>220</v>
      </c>
      <c r="F37" s="53">
        <v>45519</v>
      </c>
      <c r="G37" t="s">
        <v>200</v>
      </c>
      <c r="H37" s="8" t="s">
        <v>258</v>
      </c>
      <c r="I37">
        <v>0</v>
      </c>
      <c r="J37">
        <v>0</v>
      </c>
      <c r="K37">
        <v>0</v>
      </c>
      <c r="L37">
        <v>0</v>
      </c>
      <c r="M37">
        <v>0</v>
      </c>
      <c r="N37">
        <v>1</v>
      </c>
      <c r="O37">
        <v>0</v>
      </c>
      <c r="P37">
        <v>0</v>
      </c>
      <c r="Q37">
        <v>0</v>
      </c>
      <c r="R37">
        <v>1</v>
      </c>
      <c r="S37">
        <v>0</v>
      </c>
      <c r="T37">
        <v>1</v>
      </c>
      <c r="U37">
        <v>0</v>
      </c>
      <c r="V37">
        <v>0</v>
      </c>
      <c r="W37">
        <v>0</v>
      </c>
      <c r="X37" t="s">
        <v>259</v>
      </c>
    </row>
    <row r="38" spans="1:24" x14ac:dyDescent="0.3">
      <c r="A38" t="s">
        <v>433</v>
      </c>
      <c r="B38">
        <v>37</v>
      </c>
      <c r="C38" t="s">
        <v>1</v>
      </c>
      <c r="D38" t="s">
        <v>182</v>
      </c>
      <c r="E38" s="8" t="s">
        <v>220</v>
      </c>
      <c r="F38" s="53">
        <v>45501</v>
      </c>
      <c r="G38" t="s">
        <v>200</v>
      </c>
      <c r="H38" s="8" t="s">
        <v>260</v>
      </c>
      <c r="I38">
        <v>0</v>
      </c>
      <c r="J38">
        <v>0</v>
      </c>
      <c r="K38">
        <v>0</v>
      </c>
      <c r="L38">
        <v>1</v>
      </c>
      <c r="M38">
        <v>0</v>
      </c>
      <c r="N38">
        <v>1</v>
      </c>
      <c r="O38">
        <v>0</v>
      </c>
      <c r="P38">
        <v>0</v>
      </c>
      <c r="Q38">
        <v>0</v>
      </c>
      <c r="R38">
        <v>1</v>
      </c>
      <c r="S38">
        <v>0</v>
      </c>
      <c r="T38">
        <v>1</v>
      </c>
      <c r="U38">
        <v>0</v>
      </c>
      <c r="V38">
        <v>0</v>
      </c>
      <c r="W38">
        <v>0</v>
      </c>
      <c r="X38" t="s">
        <v>261</v>
      </c>
    </row>
    <row r="39" spans="1:24" ht="18.75" customHeight="1" x14ac:dyDescent="0.3">
      <c r="A39" t="s">
        <v>434</v>
      </c>
      <c r="B39">
        <v>38</v>
      </c>
      <c r="C39" t="s">
        <v>1</v>
      </c>
      <c r="D39" t="s">
        <v>182</v>
      </c>
      <c r="E39" s="8" t="s">
        <v>220</v>
      </c>
      <c r="F39" s="53">
        <v>45495</v>
      </c>
      <c r="G39" t="s">
        <v>200</v>
      </c>
      <c r="H39" s="8" t="s">
        <v>262</v>
      </c>
      <c r="I39">
        <v>0</v>
      </c>
      <c r="J39">
        <v>0</v>
      </c>
      <c r="K39">
        <v>0</v>
      </c>
      <c r="L39">
        <v>0</v>
      </c>
      <c r="M39">
        <v>0</v>
      </c>
      <c r="N39">
        <v>1</v>
      </c>
      <c r="O39">
        <v>0</v>
      </c>
      <c r="P39">
        <v>0</v>
      </c>
      <c r="Q39">
        <v>0</v>
      </c>
      <c r="R39">
        <v>0</v>
      </c>
      <c r="S39">
        <v>0</v>
      </c>
      <c r="T39">
        <v>0</v>
      </c>
      <c r="U39">
        <v>0</v>
      </c>
      <c r="V39">
        <v>0</v>
      </c>
      <c r="W39">
        <v>0</v>
      </c>
      <c r="X39" t="s">
        <v>263</v>
      </c>
    </row>
    <row r="40" spans="1:24" x14ac:dyDescent="0.3">
      <c r="A40" t="s">
        <v>435</v>
      </c>
      <c r="B40">
        <v>39</v>
      </c>
      <c r="C40" t="s">
        <v>1</v>
      </c>
      <c r="D40" t="s">
        <v>182</v>
      </c>
      <c r="E40" s="8" t="s">
        <v>220</v>
      </c>
      <c r="F40" s="53">
        <v>45425</v>
      </c>
      <c r="G40" t="s">
        <v>264</v>
      </c>
      <c r="H40" s="8" t="s">
        <v>265</v>
      </c>
      <c r="I40">
        <v>0</v>
      </c>
      <c r="J40">
        <v>0</v>
      </c>
      <c r="K40">
        <v>0</v>
      </c>
      <c r="L40">
        <v>0</v>
      </c>
      <c r="M40">
        <v>0</v>
      </c>
      <c r="N40">
        <v>1</v>
      </c>
      <c r="O40">
        <v>0</v>
      </c>
      <c r="P40">
        <v>0</v>
      </c>
      <c r="Q40">
        <v>0</v>
      </c>
      <c r="R40">
        <v>1</v>
      </c>
      <c r="S40">
        <v>0</v>
      </c>
      <c r="T40">
        <v>1</v>
      </c>
      <c r="U40">
        <v>0</v>
      </c>
      <c r="V40">
        <v>0</v>
      </c>
      <c r="W40">
        <v>0</v>
      </c>
      <c r="X40" t="s">
        <v>266</v>
      </c>
    </row>
    <row r="41" spans="1:24" x14ac:dyDescent="0.3">
      <c r="A41" t="s">
        <v>436</v>
      </c>
      <c r="B41">
        <v>40</v>
      </c>
      <c r="C41" t="s">
        <v>1</v>
      </c>
      <c r="D41" t="s">
        <v>182</v>
      </c>
      <c r="E41" s="8" t="s">
        <v>220</v>
      </c>
      <c r="F41" s="53">
        <v>45421</v>
      </c>
      <c r="G41" t="s">
        <v>264</v>
      </c>
      <c r="H41" s="8" t="s">
        <v>267</v>
      </c>
      <c r="I41">
        <v>1</v>
      </c>
      <c r="J41">
        <v>0</v>
      </c>
      <c r="K41">
        <v>0</v>
      </c>
      <c r="L41">
        <v>0</v>
      </c>
      <c r="M41">
        <v>0</v>
      </c>
      <c r="N41">
        <v>0</v>
      </c>
      <c r="O41">
        <v>0</v>
      </c>
      <c r="P41">
        <v>0</v>
      </c>
      <c r="Q41">
        <v>0</v>
      </c>
      <c r="R41">
        <v>1</v>
      </c>
      <c r="S41">
        <v>1</v>
      </c>
      <c r="T41">
        <v>0</v>
      </c>
      <c r="U41">
        <v>0</v>
      </c>
      <c r="V41">
        <v>0</v>
      </c>
      <c r="W41">
        <v>0</v>
      </c>
      <c r="X41" t="s">
        <v>189</v>
      </c>
    </row>
    <row r="42" spans="1:24" x14ac:dyDescent="0.3">
      <c r="A42" t="s">
        <v>437</v>
      </c>
      <c r="B42">
        <v>41</v>
      </c>
      <c r="C42" t="s">
        <v>1</v>
      </c>
      <c r="D42" t="s">
        <v>182</v>
      </c>
      <c r="E42" s="8" t="s">
        <v>220</v>
      </c>
      <c r="F42" s="53">
        <v>45374</v>
      </c>
      <c r="G42" t="s">
        <v>203</v>
      </c>
      <c r="H42" s="8" t="s">
        <v>268</v>
      </c>
      <c r="I42">
        <v>0</v>
      </c>
      <c r="J42">
        <v>0</v>
      </c>
      <c r="K42">
        <v>0</v>
      </c>
      <c r="L42">
        <v>0</v>
      </c>
      <c r="M42">
        <v>0</v>
      </c>
      <c r="N42">
        <v>1</v>
      </c>
      <c r="O42">
        <v>0</v>
      </c>
      <c r="P42">
        <v>0</v>
      </c>
      <c r="Q42">
        <v>0</v>
      </c>
      <c r="R42">
        <v>1</v>
      </c>
      <c r="S42">
        <v>0</v>
      </c>
      <c r="T42">
        <v>1</v>
      </c>
      <c r="U42">
        <v>0</v>
      </c>
      <c r="V42">
        <v>0</v>
      </c>
      <c r="W42">
        <v>0</v>
      </c>
      <c r="X42" t="s">
        <v>269</v>
      </c>
    </row>
    <row r="43" spans="1:24" x14ac:dyDescent="0.3">
      <c r="A43" t="s">
        <v>438</v>
      </c>
      <c r="B43">
        <v>42</v>
      </c>
      <c r="C43" t="s">
        <v>1</v>
      </c>
      <c r="D43" t="s">
        <v>182</v>
      </c>
      <c r="E43" s="8" t="s">
        <v>220</v>
      </c>
      <c r="F43" s="53">
        <v>45372</v>
      </c>
      <c r="G43" t="s">
        <v>203</v>
      </c>
      <c r="H43" s="8" t="s">
        <v>270</v>
      </c>
      <c r="I43">
        <v>1</v>
      </c>
      <c r="J43">
        <v>0</v>
      </c>
      <c r="K43">
        <v>0</v>
      </c>
      <c r="L43">
        <v>0</v>
      </c>
      <c r="M43">
        <v>0</v>
      </c>
      <c r="N43">
        <v>0</v>
      </c>
      <c r="O43">
        <v>0</v>
      </c>
      <c r="P43">
        <v>0</v>
      </c>
      <c r="Q43">
        <v>0</v>
      </c>
      <c r="R43">
        <v>1</v>
      </c>
      <c r="S43">
        <v>1</v>
      </c>
      <c r="T43">
        <v>0</v>
      </c>
      <c r="U43">
        <v>0</v>
      </c>
      <c r="V43">
        <v>0</v>
      </c>
      <c r="W43">
        <v>0</v>
      </c>
      <c r="X43" t="s">
        <v>271</v>
      </c>
    </row>
    <row r="44" spans="1:24" x14ac:dyDescent="0.3">
      <c r="A44" t="s">
        <v>439</v>
      </c>
      <c r="B44">
        <v>43</v>
      </c>
      <c r="C44" t="s">
        <v>1</v>
      </c>
      <c r="D44" t="s">
        <v>182</v>
      </c>
      <c r="E44" s="8" t="s">
        <v>220</v>
      </c>
      <c r="F44" s="53">
        <v>45356</v>
      </c>
      <c r="G44" t="s">
        <v>203</v>
      </c>
      <c r="H44" s="8" t="s">
        <v>272</v>
      </c>
      <c r="I44">
        <v>0</v>
      </c>
      <c r="J44">
        <v>1</v>
      </c>
      <c r="K44">
        <v>0</v>
      </c>
      <c r="L44">
        <v>0</v>
      </c>
      <c r="M44">
        <v>0</v>
      </c>
      <c r="N44">
        <v>1</v>
      </c>
      <c r="O44">
        <v>0</v>
      </c>
      <c r="P44">
        <v>0</v>
      </c>
      <c r="Q44">
        <v>0</v>
      </c>
      <c r="R44">
        <v>1</v>
      </c>
      <c r="S44">
        <v>0</v>
      </c>
      <c r="T44">
        <v>1</v>
      </c>
      <c r="U44">
        <v>0</v>
      </c>
      <c r="V44">
        <v>0</v>
      </c>
      <c r="W44">
        <v>0</v>
      </c>
    </row>
    <row r="45" spans="1:24" x14ac:dyDescent="0.3">
      <c r="A45" t="s">
        <v>440</v>
      </c>
      <c r="B45">
        <v>44</v>
      </c>
      <c r="C45" t="s">
        <v>1</v>
      </c>
      <c r="D45" t="s">
        <v>182</v>
      </c>
      <c r="E45" s="8" t="s">
        <v>220</v>
      </c>
      <c r="F45" s="53">
        <v>45267</v>
      </c>
      <c r="G45" t="s">
        <v>207</v>
      </c>
      <c r="H45" s="8" t="s">
        <v>273</v>
      </c>
      <c r="I45">
        <v>0</v>
      </c>
      <c r="J45">
        <v>1</v>
      </c>
      <c r="K45">
        <v>0</v>
      </c>
      <c r="L45">
        <v>0</v>
      </c>
      <c r="M45">
        <v>0</v>
      </c>
      <c r="N45">
        <v>1</v>
      </c>
      <c r="O45">
        <v>0</v>
      </c>
      <c r="P45">
        <v>0</v>
      </c>
      <c r="Q45">
        <v>0</v>
      </c>
      <c r="R45">
        <v>1</v>
      </c>
      <c r="S45">
        <v>0</v>
      </c>
      <c r="T45">
        <v>1</v>
      </c>
      <c r="U45">
        <v>1</v>
      </c>
      <c r="V45">
        <v>0</v>
      </c>
      <c r="W45">
        <v>0</v>
      </c>
      <c r="X45" t="s">
        <v>274</v>
      </c>
    </row>
    <row r="46" spans="1:24" x14ac:dyDescent="0.3">
      <c r="A46" t="s">
        <v>441</v>
      </c>
      <c r="B46">
        <v>45</v>
      </c>
      <c r="C46" t="s">
        <v>1</v>
      </c>
      <c r="D46" t="s">
        <v>182</v>
      </c>
      <c r="E46" s="8" t="s">
        <v>220</v>
      </c>
      <c r="F46" s="53">
        <v>45254</v>
      </c>
      <c r="G46" t="s">
        <v>207</v>
      </c>
      <c r="H46" s="8" t="s">
        <v>275</v>
      </c>
      <c r="I46">
        <v>0</v>
      </c>
      <c r="J46">
        <v>0</v>
      </c>
      <c r="K46">
        <v>0</v>
      </c>
      <c r="L46">
        <v>0</v>
      </c>
      <c r="M46">
        <v>0</v>
      </c>
      <c r="N46">
        <v>1</v>
      </c>
      <c r="O46">
        <v>0</v>
      </c>
      <c r="P46">
        <v>0</v>
      </c>
      <c r="Q46">
        <v>0</v>
      </c>
      <c r="R46">
        <v>0</v>
      </c>
      <c r="S46">
        <v>0</v>
      </c>
      <c r="T46">
        <v>1</v>
      </c>
      <c r="U46">
        <v>0</v>
      </c>
      <c r="V46">
        <v>0</v>
      </c>
      <c r="W46">
        <v>0</v>
      </c>
      <c r="X46" t="s">
        <v>276</v>
      </c>
    </row>
    <row r="47" spans="1:24" x14ac:dyDescent="0.3">
      <c r="A47" t="s">
        <v>442</v>
      </c>
      <c r="B47">
        <v>46</v>
      </c>
      <c r="C47" t="s">
        <v>1</v>
      </c>
      <c r="D47" t="s">
        <v>182</v>
      </c>
      <c r="E47" s="8" t="s">
        <v>220</v>
      </c>
      <c r="F47" s="53">
        <v>45248</v>
      </c>
      <c r="G47" t="s">
        <v>207</v>
      </c>
      <c r="H47" s="8" t="s">
        <v>277</v>
      </c>
      <c r="I47">
        <v>0</v>
      </c>
      <c r="J47">
        <v>0</v>
      </c>
      <c r="K47">
        <v>0</v>
      </c>
      <c r="L47">
        <v>0</v>
      </c>
      <c r="M47">
        <v>0</v>
      </c>
      <c r="N47">
        <v>1</v>
      </c>
      <c r="O47">
        <v>0</v>
      </c>
      <c r="P47">
        <v>0</v>
      </c>
      <c r="Q47">
        <v>0</v>
      </c>
      <c r="R47">
        <v>1</v>
      </c>
      <c r="S47">
        <v>0</v>
      </c>
      <c r="T47">
        <v>1</v>
      </c>
      <c r="U47">
        <v>0</v>
      </c>
      <c r="V47">
        <v>0</v>
      </c>
      <c r="W47">
        <v>0</v>
      </c>
      <c r="X47" t="s">
        <v>278</v>
      </c>
    </row>
    <row r="48" spans="1:24" x14ac:dyDescent="0.3">
      <c r="A48" t="s">
        <v>443</v>
      </c>
      <c r="B48">
        <v>47</v>
      </c>
      <c r="C48" t="s">
        <v>1</v>
      </c>
      <c r="D48" t="s">
        <v>182</v>
      </c>
      <c r="E48" s="8" t="s">
        <v>220</v>
      </c>
      <c r="F48" s="53">
        <v>45212</v>
      </c>
      <c r="G48" t="s">
        <v>207</v>
      </c>
      <c r="H48" s="8" t="s">
        <v>279</v>
      </c>
      <c r="I48">
        <v>0</v>
      </c>
      <c r="J48">
        <v>0</v>
      </c>
      <c r="K48">
        <v>0</v>
      </c>
      <c r="L48">
        <v>1</v>
      </c>
      <c r="M48">
        <v>0</v>
      </c>
      <c r="N48">
        <v>1</v>
      </c>
      <c r="O48">
        <v>0</v>
      </c>
      <c r="P48">
        <v>0</v>
      </c>
      <c r="Q48">
        <v>0</v>
      </c>
      <c r="R48">
        <v>1</v>
      </c>
      <c r="S48">
        <v>0</v>
      </c>
      <c r="T48">
        <v>1</v>
      </c>
      <c r="U48">
        <v>0</v>
      </c>
      <c r="V48">
        <v>0</v>
      </c>
      <c r="W48">
        <v>0</v>
      </c>
      <c r="X48" t="s">
        <v>280</v>
      </c>
    </row>
    <row r="49" spans="1:24" x14ac:dyDescent="0.3">
      <c r="A49" t="s">
        <v>444</v>
      </c>
      <c r="B49">
        <v>48</v>
      </c>
      <c r="C49" t="s">
        <v>1</v>
      </c>
      <c r="D49" t="s">
        <v>182</v>
      </c>
      <c r="E49" s="8" t="s">
        <v>220</v>
      </c>
      <c r="F49" s="53">
        <v>45079</v>
      </c>
      <c r="G49" t="s">
        <v>281</v>
      </c>
      <c r="H49" s="8" t="s">
        <v>282</v>
      </c>
      <c r="I49">
        <v>1</v>
      </c>
      <c r="J49">
        <v>0</v>
      </c>
      <c r="K49">
        <v>0</v>
      </c>
      <c r="L49">
        <v>1</v>
      </c>
      <c r="M49">
        <v>0</v>
      </c>
      <c r="N49">
        <v>0</v>
      </c>
      <c r="O49">
        <v>0</v>
      </c>
      <c r="P49">
        <v>0</v>
      </c>
      <c r="Q49">
        <v>0</v>
      </c>
      <c r="R49">
        <v>0</v>
      </c>
      <c r="S49">
        <v>0</v>
      </c>
      <c r="T49">
        <v>0</v>
      </c>
      <c r="U49">
        <v>0</v>
      </c>
      <c r="V49">
        <v>0</v>
      </c>
      <c r="W49">
        <v>0</v>
      </c>
      <c r="X49" t="s">
        <v>283</v>
      </c>
    </row>
    <row r="50" spans="1:24" x14ac:dyDescent="0.3">
      <c r="A50" t="s">
        <v>445</v>
      </c>
      <c r="B50">
        <v>49</v>
      </c>
      <c r="C50" t="s">
        <v>1</v>
      </c>
      <c r="D50" t="s">
        <v>182</v>
      </c>
      <c r="E50" s="8" t="s">
        <v>220</v>
      </c>
      <c r="F50" s="53">
        <v>45068</v>
      </c>
      <c r="G50" t="s">
        <v>281</v>
      </c>
      <c r="H50" s="8" t="s">
        <v>284</v>
      </c>
      <c r="I50">
        <v>1</v>
      </c>
      <c r="J50">
        <v>0</v>
      </c>
      <c r="K50">
        <v>0</v>
      </c>
      <c r="L50">
        <v>0</v>
      </c>
      <c r="M50">
        <v>0</v>
      </c>
      <c r="N50">
        <v>1</v>
      </c>
      <c r="O50">
        <v>0</v>
      </c>
      <c r="P50">
        <v>0</v>
      </c>
      <c r="Q50">
        <v>0</v>
      </c>
      <c r="R50">
        <v>1</v>
      </c>
      <c r="S50">
        <v>1</v>
      </c>
      <c r="T50">
        <v>0</v>
      </c>
      <c r="U50">
        <v>0</v>
      </c>
      <c r="V50">
        <v>0</v>
      </c>
      <c r="W50">
        <v>0</v>
      </c>
      <c r="X50" t="s">
        <v>285</v>
      </c>
    </row>
    <row r="51" spans="1:24" ht="201.6" x14ac:dyDescent="0.3">
      <c r="A51" t="s">
        <v>446</v>
      </c>
      <c r="B51" s="54" t="s">
        <v>286</v>
      </c>
      <c r="C51" t="s">
        <v>1</v>
      </c>
      <c r="D51" t="s">
        <v>182</v>
      </c>
      <c r="E51" s="8" t="s">
        <v>287</v>
      </c>
      <c r="F51" s="53">
        <v>46009</v>
      </c>
      <c r="G51" t="s">
        <v>225</v>
      </c>
      <c r="H51" s="8" t="s">
        <v>640</v>
      </c>
      <c r="I51">
        <v>1</v>
      </c>
      <c r="J51">
        <v>1</v>
      </c>
      <c r="K51">
        <v>0</v>
      </c>
      <c r="L51">
        <v>1</v>
      </c>
      <c r="M51">
        <v>0</v>
      </c>
      <c r="N51">
        <v>1</v>
      </c>
      <c r="O51">
        <v>0</v>
      </c>
      <c r="P51">
        <v>0</v>
      </c>
      <c r="Q51">
        <v>0</v>
      </c>
      <c r="R51">
        <v>1</v>
      </c>
      <c r="S51">
        <v>1</v>
      </c>
      <c r="T51">
        <v>0</v>
      </c>
      <c r="U51">
        <v>0</v>
      </c>
      <c r="V51">
        <v>0</v>
      </c>
      <c r="W51">
        <v>0</v>
      </c>
    </row>
    <row r="52" spans="1:24" ht="158.4" x14ac:dyDescent="0.3">
      <c r="A52" t="s">
        <v>447</v>
      </c>
      <c r="B52" s="54" t="s">
        <v>288</v>
      </c>
      <c r="C52" t="s">
        <v>1</v>
      </c>
      <c r="D52" t="s">
        <v>182</v>
      </c>
      <c r="E52" s="8" t="s">
        <v>287</v>
      </c>
      <c r="F52" s="53">
        <v>45703</v>
      </c>
      <c r="G52" t="s">
        <v>194</v>
      </c>
      <c r="H52" s="8" t="s">
        <v>641</v>
      </c>
      <c r="I52">
        <v>1</v>
      </c>
      <c r="J52">
        <v>1</v>
      </c>
      <c r="K52">
        <v>0</v>
      </c>
      <c r="L52">
        <v>0</v>
      </c>
      <c r="M52">
        <v>0</v>
      </c>
      <c r="N52">
        <v>1</v>
      </c>
      <c r="O52">
        <v>0</v>
      </c>
      <c r="P52">
        <v>0</v>
      </c>
      <c r="Q52">
        <v>0</v>
      </c>
      <c r="R52">
        <v>1</v>
      </c>
      <c r="S52">
        <v>0</v>
      </c>
      <c r="T52">
        <v>1</v>
      </c>
      <c r="U52">
        <v>1</v>
      </c>
      <c r="V52">
        <v>0</v>
      </c>
      <c r="W52">
        <v>0</v>
      </c>
    </row>
    <row r="53" spans="1:24" ht="144" x14ac:dyDescent="0.3">
      <c r="A53" t="s">
        <v>448</v>
      </c>
      <c r="B53" s="54" t="s">
        <v>289</v>
      </c>
      <c r="C53" t="s">
        <v>1</v>
      </c>
      <c r="D53" t="s">
        <v>182</v>
      </c>
      <c r="E53" s="8" t="s">
        <v>287</v>
      </c>
      <c r="F53" s="53">
        <v>45342</v>
      </c>
      <c r="G53" t="s">
        <v>203</v>
      </c>
      <c r="H53" s="8" t="s">
        <v>642</v>
      </c>
      <c r="I53">
        <v>0</v>
      </c>
      <c r="J53">
        <v>0</v>
      </c>
      <c r="K53">
        <v>0</v>
      </c>
      <c r="L53">
        <v>0</v>
      </c>
      <c r="M53">
        <v>0</v>
      </c>
      <c r="N53">
        <v>1</v>
      </c>
      <c r="O53">
        <v>0</v>
      </c>
      <c r="P53">
        <v>1</v>
      </c>
      <c r="Q53">
        <v>0</v>
      </c>
      <c r="R53">
        <v>0</v>
      </c>
      <c r="S53">
        <v>0</v>
      </c>
      <c r="T53">
        <v>0</v>
      </c>
      <c r="U53">
        <v>1</v>
      </c>
      <c r="V53">
        <v>0</v>
      </c>
      <c r="W53">
        <v>0</v>
      </c>
    </row>
    <row r="54" spans="1:24" ht="172.8" x14ac:dyDescent="0.3">
      <c r="A54" t="s">
        <v>645</v>
      </c>
      <c r="B54" s="54" t="s">
        <v>290</v>
      </c>
      <c r="C54" t="s">
        <v>1</v>
      </c>
      <c r="D54" t="s">
        <v>182</v>
      </c>
      <c r="E54" s="8" t="s">
        <v>287</v>
      </c>
      <c r="F54" s="53">
        <v>45714</v>
      </c>
      <c r="G54" t="s">
        <v>194</v>
      </c>
      <c r="H54" s="8" t="s">
        <v>643</v>
      </c>
      <c r="I54">
        <v>0</v>
      </c>
      <c r="J54">
        <v>1</v>
      </c>
      <c r="K54">
        <v>0</v>
      </c>
      <c r="L54">
        <v>0</v>
      </c>
      <c r="M54">
        <v>0</v>
      </c>
      <c r="N54">
        <v>1</v>
      </c>
      <c r="O54">
        <v>0</v>
      </c>
      <c r="P54">
        <v>1</v>
      </c>
      <c r="Q54">
        <v>0</v>
      </c>
      <c r="R54">
        <v>1</v>
      </c>
      <c r="S54">
        <v>0</v>
      </c>
      <c r="T54">
        <v>0</v>
      </c>
      <c r="U54">
        <v>0</v>
      </c>
      <c r="V54">
        <v>0</v>
      </c>
      <c r="W54">
        <v>0</v>
      </c>
    </row>
    <row r="55" spans="1:24" ht="129.6" x14ac:dyDescent="0.3">
      <c r="A55" t="s">
        <v>646</v>
      </c>
      <c r="B55" s="54" t="s">
        <v>291</v>
      </c>
      <c r="C55" t="s">
        <v>1</v>
      </c>
      <c r="D55" t="s">
        <v>182</v>
      </c>
      <c r="E55" s="8" t="s">
        <v>287</v>
      </c>
      <c r="F55" s="53">
        <v>45716</v>
      </c>
      <c r="G55" t="s">
        <v>194</v>
      </c>
      <c r="H55" s="8" t="s">
        <v>638</v>
      </c>
      <c r="I55">
        <v>1</v>
      </c>
      <c r="J55">
        <v>0</v>
      </c>
      <c r="K55">
        <v>0</v>
      </c>
      <c r="L55">
        <v>0</v>
      </c>
      <c r="M55">
        <v>1</v>
      </c>
      <c r="N55">
        <v>1</v>
      </c>
      <c r="O55">
        <v>0</v>
      </c>
      <c r="P55">
        <v>1</v>
      </c>
      <c r="Q55">
        <v>0</v>
      </c>
      <c r="R55">
        <v>0</v>
      </c>
      <c r="S55">
        <v>1</v>
      </c>
      <c r="T55">
        <v>0</v>
      </c>
      <c r="U55">
        <v>0</v>
      </c>
      <c r="V55">
        <v>0</v>
      </c>
      <c r="W55">
        <v>0</v>
      </c>
    </row>
    <row r="56" spans="1:24" ht="187.2" x14ac:dyDescent="0.3">
      <c r="A56" t="s">
        <v>647</v>
      </c>
      <c r="B56" s="54" t="s">
        <v>292</v>
      </c>
      <c r="C56" t="s">
        <v>1</v>
      </c>
      <c r="D56" t="s">
        <v>182</v>
      </c>
      <c r="E56" s="8" t="s">
        <v>287</v>
      </c>
      <c r="F56" s="53">
        <v>45687</v>
      </c>
      <c r="G56" t="s">
        <v>194</v>
      </c>
      <c r="H56" s="8" t="s">
        <v>644</v>
      </c>
      <c r="I56">
        <v>1</v>
      </c>
      <c r="J56">
        <v>0</v>
      </c>
      <c r="K56">
        <v>0</v>
      </c>
      <c r="L56">
        <v>0</v>
      </c>
      <c r="M56">
        <v>0</v>
      </c>
      <c r="N56">
        <v>1</v>
      </c>
      <c r="O56">
        <v>0</v>
      </c>
      <c r="P56">
        <v>1</v>
      </c>
      <c r="Q56">
        <v>0</v>
      </c>
      <c r="R56">
        <v>0</v>
      </c>
      <c r="S56">
        <v>0</v>
      </c>
      <c r="T56">
        <v>0</v>
      </c>
      <c r="U56">
        <v>1</v>
      </c>
      <c r="V56">
        <v>0</v>
      </c>
      <c r="W56">
        <v>0</v>
      </c>
    </row>
    <row r="57" spans="1:24" ht="86.4" x14ac:dyDescent="0.3">
      <c r="A57" t="s">
        <v>648</v>
      </c>
      <c r="B57" s="54" t="s">
        <v>293</v>
      </c>
      <c r="C57" t="s">
        <v>1</v>
      </c>
      <c r="D57" t="s">
        <v>182</v>
      </c>
      <c r="E57" s="8" t="s">
        <v>287</v>
      </c>
      <c r="F57" s="53">
        <v>45653</v>
      </c>
      <c r="G57" t="s">
        <v>197</v>
      </c>
      <c r="H57" s="8" t="s">
        <v>639</v>
      </c>
      <c r="I57">
        <v>0</v>
      </c>
      <c r="J57">
        <v>0</v>
      </c>
      <c r="K57">
        <v>0</v>
      </c>
      <c r="L57">
        <v>0</v>
      </c>
      <c r="M57">
        <v>0</v>
      </c>
      <c r="N57">
        <v>1</v>
      </c>
      <c r="O57">
        <v>0</v>
      </c>
      <c r="P57">
        <v>1</v>
      </c>
      <c r="Q57">
        <v>0</v>
      </c>
      <c r="R57">
        <v>0</v>
      </c>
      <c r="S57">
        <v>0</v>
      </c>
      <c r="T57">
        <v>0</v>
      </c>
      <c r="U57">
        <v>1</v>
      </c>
      <c r="V57">
        <v>0</v>
      </c>
      <c r="W57">
        <v>0</v>
      </c>
    </row>
    <row r="59" spans="1:24" x14ac:dyDescent="0.3">
      <c r="A59" s="8" t="s">
        <v>396</v>
      </c>
      <c r="B59" t="s">
        <v>176</v>
      </c>
      <c r="C59" t="s">
        <v>0</v>
      </c>
      <c r="D59" t="s">
        <v>177</v>
      </c>
      <c r="E59" s="8" t="s">
        <v>178</v>
      </c>
      <c r="F59" s="53" t="s">
        <v>179</v>
      </c>
      <c r="G59" t="s">
        <v>60</v>
      </c>
      <c r="H59" s="8" t="s">
        <v>180</v>
      </c>
      <c r="I59" t="s">
        <v>119</v>
      </c>
      <c r="J59" t="s">
        <v>123</v>
      </c>
      <c r="K59" t="s">
        <v>127</v>
      </c>
      <c r="L59" t="s">
        <v>131</v>
      </c>
      <c r="M59" t="s">
        <v>135</v>
      </c>
      <c r="N59" t="s">
        <v>139</v>
      </c>
      <c r="O59" t="s">
        <v>143</v>
      </c>
      <c r="P59" t="s">
        <v>147</v>
      </c>
      <c r="Q59" t="s">
        <v>150</v>
      </c>
      <c r="R59" t="s">
        <v>154</v>
      </c>
      <c r="S59" t="s">
        <v>157</v>
      </c>
      <c r="T59" t="s">
        <v>161</v>
      </c>
      <c r="U59" t="s">
        <v>164</v>
      </c>
      <c r="V59" t="s">
        <v>168</v>
      </c>
      <c r="W59" t="s">
        <v>172</v>
      </c>
      <c r="X59" t="s">
        <v>181</v>
      </c>
    </row>
    <row r="60" spans="1:24" x14ac:dyDescent="0.3">
      <c r="A60" s="8" t="s">
        <v>649</v>
      </c>
      <c r="B60">
        <v>1</v>
      </c>
      <c r="C60" t="s">
        <v>2</v>
      </c>
      <c r="D60" t="s">
        <v>294</v>
      </c>
      <c r="E60" s="8" t="s">
        <v>183</v>
      </c>
      <c r="F60" s="53">
        <v>46090</v>
      </c>
      <c r="G60" t="s">
        <v>184</v>
      </c>
      <c r="H60" s="8" t="s">
        <v>295</v>
      </c>
      <c r="I60">
        <v>1</v>
      </c>
      <c r="J60">
        <v>0</v>
      </c>
      <c r="K60">
        <v>0</v>
      </c>
      <c r="L60">
        <v>0</v>
      </c>
      <c r="M60">
        <v>0</v>
      </c>
      <c r="N60">
        <v>0</v>
      </c>
      <c r="O60">
        <v>0</v>
      </c>
      <c r="P60">
        <v>0</v>
      </c>
      <c r="Q60">
        <v>0</v>
      </c>
      <c r="R60">
        <v>0</v>
      </c>
      <c r="S60">
        <v>1</v>
      </c>
      <c r="T60">
        <v>0</v>
      </c>
      <c r="U60">
        <v>0</v>
      </c>
      <c r="V60">
        <v>0</v>
      </c>
      <c r="W60">
        <v>0</v>
      </c>
    </row>
    <row r="61" spans="1:24" x14ac:dyDescent="0.3">
      <c r="A61" s="8" t="s">
        <v>650</v>
      </c>
      <c r="B61">
        <v>2</v>
      </c>
      <c r="C61" t="s">
        <v>2</v>
      </c>
      <c r="D61" t="s">
        <v>294</v>
      </c>
      <c r="E61" s="8" t="s">
        <v>183</v>
      </c>
      <c r="F61" s="53">
        <v>46071</v>
      </c>
      <c r="G61" t="s">
        <v>184</v>
      </c>
      <c r="H61" s="8" t="s">
        <v>296</v>
      </c>
      <c r="I61">
        <v>0</v>
      </c>
      <c r="J61">
        <v>0</v>
      </c>
      <c r="K61">
        <v>0</v>
      </c>
      <c r="L61">
        <v>0</v>
      </c>
      <c r="M61">
        <v>0</v>
      </c>
      <c r="N61">
        <v>1</v>
      </c>
      <c r="O61">
        <v>0</v>
      </c>
      <c r="P61">
        <v>0</v>
      </c>
      <c r="Q61">
        <v>0</v>
      </c>
      <c r="R61">
        <v>0</v>
      </c>
      <c r="S61">
        <v>0</v>
      </c>
      <c r="T61">
        <v>1</v>
      </c>
      <c r="U61">
        <v>1</v>
      </c>
      <c r="V61">
        <v>0</v>
      </c>
      <c r="W61">
        <v>0</v>
      </c>
    </row>
    <row r="62" spans="1:24" x14ac:dyDescent="0.3">
      <c r="A62" s="8" t="s">
        <v>651</v>
      </c>
      <c r="B62">
        <v>3</v>
      </c>
      <c r="C62" t="s">
        <v>2</v>
      </c>
      <c r="D62" t="s">
        <v>294</v>
      </c>
      <c r="E62" s="8" t="s">
        <v>183</v>
      </c>
      <c r="F62" s="53">
        <v>46070</v>
      </c>
      <c r="G62" t="s">
        <v>184</v>
      </c>
      <c r="H62" s="8" t="s">
        <v>297</v>
      </c>
      <c r="I62">
        <v>1</v>
      </c>
      <c r="J62">
        <v>0</v>
      </c>
      <c r="K62">
        <v>1</v>
      </c>
      <c r="L62">
        <v>0</v>
      </c>
      <c r="M62">
        <v>0</v>
      </c>
      <c r="N62">
        <v>0</v>
      </c>
      <c r="O62">
        <v>0</v>
      </c>
      <c r="P62">
        <v>0</v>
      </c>
      <c r="Q62">
        <v>0</v>
      </c>
      <c r="R62">
        <v>0</v>
      </c>
      <c r="S62">
        <v>1</v>
      </c>
      <c r="T62">
        <v>0</v>
      </c>
      <c r="U62">
        <v>1</v>
      </c>
      <c r="V62">
        <v>0</v>
      </c>
      <c r="W62">
        <v>0</v>
      </c>
    </row>
    <row r="63" spans="1:24" x14ac:dyDescent="0.3">
      <c r="A63" s="8" t="s">
        <v>652</v>
      </c>
      <c r="B63">
        <v>4</v>
      </c>
      <c r="C63" t="s">
        <v>2</v>
      </c>
      <c r="D63" t="s">
        <v>294</v>
      </c>
      <c r="E63" s="8" t="s">
        <v>183</v>
      </c>
      <c r="F63" s="53">
        <v>46054</v>
      </c>
      <c r="G63" t="s">
        <v>184</v>
      </c>
      <c r="H63" s="8" t="s">
        <v>298</v>
      </c>
      <c r="I63">
        <v>1</v>
      </c>
      <c r="J63">
        <v>0</v>
      </c>
      <c r="K63">
        <v>0</v>
      </c>
      <c r="L63">
        <v>0</v>
      </c>
      <c r="M63">
        <v>0</v>
      </c>
      <c r="N63">
        <v>0</v>
      </c>
      <c r="O63">
        <v>0</v>
      </c>
      <c r="P63">
        <v>0</v>
      </c>
      <c r="Q63">
        <v>0</v>
      </c>
      <c r="R63">
        <v>0</v>
      </c>
      <c r="S63">
        <v>0</v>
      </c>
      <c r="T63">
        <v>1</v>
      </c>
      <c r="U63">
        <v>1</v>
      </c>
      <c r="V63">
        <v>0</v>
      </c>
      <c r="W63">
        <v>0</v>
      </c>
    </row>
    <row r="64" spans="1:24" x14ac:dyDescent="0.3">
      <c r="A64" s="8" t="s">
        <v>653</v>
      </c>
      <c r="B64">
        <v>5</v>
      </c>
      <c r="C64" t="s">
        <v>2</v>
      </c>
      <c r="D64" t="s">
        <v>294</v>
      </c>
      <c r="E64" s="8" t="s">
        <v>183</v>
      </c>
      <c r="F64" s="53">
        <v>46041</v>
      </c>
      <c r="G64" t="s">
        <v>184</v>
      </c>
      <c r="H64" s="8" t="s">
        <v>299</v>
      </c>
      <c r="I64">
        <v>1</v>
      </c>
      <c r="J64">
        <v>0</v>
      </c>
      <c r="K64">
        <v>0</v>
      </c>
      <c r="L64">
        <v>0</v>
      </c>
      <c r="M64">
        <v>0</v>
      </c>
      <c r="N64">
        <v>0</v>
      </c>
      <c r="O64">
        <v>0</v>
      </c>
      <c r="P64">
        <v>0</v>
      </c>
      <c r="Q64">
        <v>0</v>
      </c>
      <c r="R64">
        <v>0</v>
      </c>
      <c r="S64">
        <v>0</v>
      </c>
      <c r="T64">
        <v>0</v>
      </c>
      <c r="U64">
        <v>0</v>
      </c>
      <c r="V64">
        <v>0</v>
      </c>
      <c r="W64">
        <v>0</v>
      </c>
    </row>
    <row r="65" spans="1:23" x14ac:dyDescent="0.3">
      <c r="A65" s="8" t="s">
        <v>654</v>
      </c>
      <c r="B65">
        <v>6</v>
      </c>
      <c r="C65" t="s">
        <v>2</v>
      </c>
      <c r="D65" t="s">
        <v>294</v>
      </c>
      <c r="E65" s="8" t="s">
        <v>183</v>
      </c>
      <c r="F65" s="53">
        <v>46035</v>
      </c>
      <c r="G65" t="s">
        <v>184</v>
      </c>
      <c r="H65" s="8" t="s">
        <v>300</v>
      </c>
      <c r="I65">
        <v>1</v>
      </c>
      <c r="J65">
        <v>0</v>
      </c>
      <c r="K65">
        <v>0</v>
      </c>
      <c r="L65">
        <v>0</v>
      </c>
      <c r="M65">
        <v>0</v>
      </c>
      <c r="N65">
        <v>0</v>
      </c>
      <c r="O65">
        <v>0</v>
      </c>
      <c r="P65">
        <v>0</v>
      </c>
      <c r="Q65">
        <v>0</v>
      </c>
      <c r="R65">
        <v>0</v>
      </c>
      <c r="S65">
        <v>0</v>
      </c>
      <c r="T65">
        <v>0</v>
      </c>
      <c r="U65">
        <v>0</v>
      </c>
      <c r="V65">
        <v>0</v>
      </c>
      <c r="W65">
        <v>0</v>
      </c>
    </row>
    <row r="66" spans="1:23" x14ac:dyDescent="0.3">
      <c r="A66" s="8" t="s">
        <v>655</v>
      </c>
      <c r="B66">
        <v>7</v>
      </c>
      <c r="C66" t="s">
        <v>2</v>
      </c>
      <c r="D66" t="s">
        <v>294</v>
      </c>
      <c r="E66" s="8" t="s">
        <v>183</v>
      </c>
      <c r="F66" s="53">
        <v>46028</v>
      </c>
      <c r="G66" t="s">
        <v>184</v>
      </c>
      <c r="H66" s="8" t="s">
        <v>301</v>
      </c>
      <c r="I66">
        <v>0</v>
      </c>
      <c r="J66">
        <v>0</v>
      </c>
      <c r="K66">
        <v>0</v>
      </c>
      <c r="L66">
        <v>0</v>
      </c>
      <c r="M66">
        <v>0</v>
      </c>
      <c r="N66">
        <v>1</v>
      </c>
      <c r="O66">
        <v>0</v>
      </c>
      <c r="P66">
        <v>0</v>
      </c>
      <c r="Q66">
        <v>0</v>
      </c>
      <c r="R66">
        <v>0</v>
      </c>
      <c r="S66">
        <v>0</v>
      </c>
      <c r="T66">
        <v>1</v>
      </c>
      <c r="U66">
        <v>0</v>
      </c>
      <c r="V66">
        <v>0</v>
      </c>
      <c r="W66">
        <v>0</v>
      </c>
    </row>
    <row r="67" spans="1:23" x14ac:dyDescent="0.3">
      <c r="A67" s="8" t="s">
        <v>656</v>
      </c>
      <c r="B67">
        <v>8</v>
      </c>
      <c r="C67" t="s">
        <v>2</v>
      </c>
      <c r="D67" t="s">
        <v>294</v>
      </c>
      <c r="E67" s="8" t="s">
        <v>183</v>
      </c>
      <c r="F67" s="53">
        <v>45967</v>
      </c>
      <c r="G67" t="s">
        <v>225</v>
      </c>
      <c r="H67" s="8" t="s">
        <v>302</v>
      </c>
      <c r="I67">
        <v>0</v>
      </c>
      <c r="J67">
        <v>1</v>
      </c>
      <c r="K67">
        <v>0</v>
      </c>
      <c r="L67">
        <v>0</v>
      </c>
      <c r="M67">
        <v>0</v>
      </c>
      <c r="N67">
        <v>0</v>
      </c>
      <c r="O67">
        <v>0</v>
      </c>
      <c r="P67">
        <v>0</v>
      </c>
      <c r="Q67">
        <v>0</v>
      </c>
      <c r="R67">
        <v>0</v>
      </c>
      <c r="S67">
        <v>0</v>
      </c>
      <c r="T67">
        <v>0</v>
      </c>
      <c r="U67">
        <v>0</v>
      </c>
      <c r="V67">
        <v>0</v>
      </c>
      <c r="W67">
        <v>0</v>
      </c>
    </row>
    <row r="68" spans="1:23" x14ac:dyDescent="0.3">
      <c r="A68" s="8" t="s">
        <v>657</v>
      </c>
      <c r="B68">
        <v>9</v>
      </c>
      <c r="C68" t="s">
        <v>2</v>
      </c>
      <c r="D68" t="s">
        <v>294</v>
      </c>
      <c r="E68" s="8" t="s">
        <v>183</v>
      </c>
      <c r="F68" s="53">
        <v>45959</v>
      </c>
      <c r="G68" t="s">
        <v>225</v>
      </c>
      <c r="H68" s="8" t="s">
        <v>303</v>
      </c>
      <c r="I68">
        <v>0</v>
      </c>
      <c r="J68">
        <v>0</v>
      </c>
      <c r="K68">
        <v>1</v>
      </c>
      <c r="L68">
        <v>0</v>
      </c>
      <c r="M68">
        <v>0</v>
      </c>
      <c r="N68">
        <v>0</v>
      </c>
      <c r="O68">
        <v>0</v>
      </c>
      <c r="P68">
        <v>0</v>
      </c>
      <c r="Q68">
        <v>0</v>
      </c>
      <c r="R68">
        <v>0</v>
      </c>
      <c r="S68">
        <v>0</v>
      </c>
      <c r="T68">
        <v>0</v>
      </c>
      <c r="U68">
        <v>0</v>
      </c>
      <c r="V68">
        <v>0</v>
      </c>
      <c r="W68">
        <v>0</v>
      </c>
    </row>
    <row r="69" spans="1:23" x14ac:dyDescent="0.3">
      <c r="A69" s="8" t="s">
        <v>658</v>
      </c>
      <c r="B69">
        <v>10</v>
      </c>
      <c r="C69" t="s">
        <v>2</v>
      </c>
      <c r="D69" t="s">
        <v>294</v>
      </c>
      <c r="E69" s="8" t="s">
        <v>183</v>
      </c>
      <c r="F69" s="53">
        <v>45946</v>
      </c>
      <c r="G69" t="s">
        <v>225</v>
      </c>
      <c r="H69" s="8" t="s">
        <v>304</v>
      </c>
      <c r="I69">
        <v>0</v>
      </c>
      <c r="J69">
        <v>0</v>
      </c>
      <c r="K69">
        <v>0</v>
      </c>
      <c r="L69">
        <v>0</v>
      </c>
      <c r="M69">
        <v>0</v>
      </c>
      <c r="N69">
        <v>1</v>
      </c>
      <c r="O69">
        <v>0</v>
      </c>
      <c r="P69">
        <v>0</v>
      </c>
      <c r="Q69">
        <v>0</v>
      </c>
      <c r="R69">
        <v>0</v>
      </c>
      <c r="S69">
        <v>0</v>
      </c>
      <c r="T69">
        <v>0</v>
      </c>
      <c r="U69">
        <v>0</v>
      </c>
      <c r="V69">
        <v>0</v>
      </c>
      <c r="W69">
        <v>0</v>
      </c>
    </row>
    <row r="70" spans="1:23" x14ac:dyDescent="0.3">
      <c r="A70" s="8" t="s">
        <v>659</v>
      </c>
      <c r="B70">
        <v>11</v>
      </c>
      <c r="C70" t="s">
        <v>2</v>
      </c>
      <c r="D70" t="s">
        <v>294</v>
      </c>
      <c r="E70" s="8" t="s">
        <v>183</v>
      </c>
      <c r="F70" s="53">
        <v>45904</v>
      </c>
      <c r="G70" t="s">
        <v>187</v>
      </c>
      <c r="H70" s="8" t="s">
        <v>305</v>
      </c>
      <c r="I70">
        <v>0</v>
      </c>
      <c r="J70">
        <v>0</v>
      </c>
      <c r="K70">
        <v>0</v>
      </c>
      <c r="L70">
        <v>1</v>
      </c>
      <c r="M70">
        <v>0</v>
      </c>
      <c r="N70">
        <v>0</v>
      </c>
      <c r="O70">
        <v>0</v>
      </c>
      <c r="P70">
        <v>0</v>
      </c>
      <c r="Q70">
        <v>0</v>
      </c>
      <c r="R70">
        <v>0</v>
      </c>
      <c r="S70">
        <v>0</v>
      </c>
      <c r="T70">
        <v>1</v>
      </c>
      <c r="U70">
        <v>1</v>
      </c>
      <c r="V70">
        <v>0</v>
      </c>
      <c r="W70">
        <v>0</v>
      </c>
    </row>
    <row r="71" spans="1:23" x14ac:dyDescent="0.3">
      <c r="A71" s="8" t="s">
        <v>660</v>
      </c>
      <c r="B71">
        <v>12</v>
      </c>
      <c r="C71" t="s">
        <v>2</v>
      </c>
      <c r="D71" t="s">
        <v>294</v>
      </c>
      <c r="E71" s="8" t="s">
        <v>183</v>
      </c>
      <c r="F71" s="53">
        <v>45794</v>
      </c>
      <c r="G71" t="s">
        <v>192</v>
      </c>
      <c r="H71" s="8" t="s">
        <v>306</v>
      </c>
      <c r="I71">
        <v>0</v>
      </c>
      <c r="J71">
        <v>0</v>
      </c>
      <c r="K71">
        <v>0</v>
      </c>
      <c r="L71">
        <v>0</v>
      </c>
      <c r="M71">
        <v>0</v>
      </c>
      <c r="N71">
        <v>1</v>
      </c>
      <c r="O71">
        <v>0</v>
      </c>
      <c r="P71">
        <v>0</v>
      </c>
      <c r="Q71">
        <v>0</v>
      </c>
      <c r="R71">
        <v>0</v>
      </c>
      <c r="S71">
        <v>0</v>
      </c>
      <c r="T71">
        <v>0</v>
      </c>
      <c r="U71">
        <v>0</v>
      </c>
      <c r="V71">
        <v>0</v>
      </c>
      <c r="W71">
        <v>0</v>
      </c>
    </row>
    <row r="72" spans="1:23" x14ac:dyDescent="0.3">
      <c r="A72" s="8" t="s">
        <v>661</v>
      </c>
      <c r="B72">
        <v>13</v>
      </c>
      <c r="C72" t="s">
        <v>2</v>
      </c>
      <c r="D72" t="s">
        <v>294</v>
      </c>
      <c r="E72" s="8" t="s">
        <v>183</v>
      </c>
      <c r="F72" s="53">
        <v>45772</v>
      </c>
      <c r="G72" t="s">
        <v>192</v>
      </c>
      <c r="H72" s="8" t="s">
        <v>307</v>
      </c>
      <c r="I72">
        <v>0</v>
      </c>
      <c r="J72">
        <v>0</v>
      </c>
      <c r="K72">
        <v>0</v>
      </c>
      <c r="L72">
        <v>0</v>
      </c>
      <c r="M72">
        <v>0</v>
      </c>
      <c r="N72">
        <v>0</v>
      </c>
      <c r="O72">
        <v>0</v>
      </c>
      <c r="P72">
        <v>0</v>
      </c>
      <c r="Q72">
        <v>0</v>
      </c>
      <c r="R72">
        <v>1</v>
      </c>
      <c r="S72">
        <v>0</v>
      </c>
      <c r="T72">
        <v>0</v>
      </c>
      <c r="U72">
        <v>0</v>
      </c>
      <c r="V72">
        <v>0</v>
      </c>
      <c r="W72">
        <v>0</v>
      </c>
    </row>
    <row r="73" spans="1:23" x14ac:dyDescent="0.3">
      <c r="A73" s="8" t="s">
        <v>662</v>
      </c>
      <c r="B73">
        <v>14</v>
      </c>
      <c r="C73" t="s">
        <v>2</v>
      </c>
      <c r="D73" t="s">
        <v>294</v>
      </c>
      <c r="E73" s="8" t="s">
        <v>183</v>
      </c>
      <c r="F73" s="53">
        <v>45718</v>
      </c>
      <c r="G73" t="s">
        <v>194</v>
      </c>
      <c r="H73" s="8" t="s">
        <v>308</v>
      </c>
      <c r="I73">
        <v>1</v>
      </c>
      <c r="J73">
        <v>0</v>
      </c>
      <c r="K73">
        <v>0</v>
      </c>
      <c r="L73">
        <v>0</v>
      </c>
      <c r="M73">
        <v>0</v>
      </c>
      <c r="N73">
        <v>0</v>
      </c>
      <c r="O73">
        <v>0</v>
      </c>
      <c r="P73">
        <v>0</v>
      </c>
      <c r="Q73">
        <v>0</v>
      </c>
      <c r="R73">
        <v>0</v>
      </c>
      <c r="S73">
        <v>0</v>
      </c>
      <c r="T73">
        <v>0</v>
      </c>
      <c r="U73">
        <v>0</v>
      </c>
      <c r="V73">
        <v>0</v>
      </c>
      <c r="W73">
        <v>0</v>
      </c>
    </row>
    <row r="74" spans="1:23" x14ac:dyDescent="0.3">
      <c r="A74" s="8" t="s">
        <v>663</v>
      </c>
      <c r="B74">
        <v>15</v>
      </c>
      <c r="C74" t="s">
        <v>2</v>
      </c>
      <c r="D74" t="s">
        <v>294</v>
      </c>
      <c r="E74" s="8" t="s">
        <v>183</v>
      </c>
      <c r="F74" s="53">
        <v>45694</v>
      </c>
      <c r="G74" t="s">
        <v>194</v>
      </c>
      <c r="H74" s="8" t="s">
        <v>309</v>
      </c>
      <c r="I74">
        <v>0</v>
      </c>
      <c r="J74">
        <v>1</v>
      </c>
      <c r="K74">
        <v>0</v>
      </c>
      <c r="L74">
        <v>0</v>
      </c>
      <c r="M74">
        <v>0</v>
      </c>
      <c r="N74">
        <v>1</v>
      </c>
      <c r="O74">
        <v>0</v>
      </c>
      <c r="P74">
        <v>0</v>
      </c>
      <c r="Q74">
        <v>0</v>
      </c>
      <c r="R74">
        <v>0</v>
      </c>
      <c r="S74">
        <v>0</v>
      </c>
      <c r="T74">
        <v>1</v>
      </c>
      <c r="U74">
        <v>1</v>
      </c>
      <c r="V74">
        <v>0</v>
      </c>
      <c r="W74">
        <v>0</v>
      </c>
    </row>
    <row r="75" spans="1:23" x14ac:dyDescent="0.3">
      <c r="A75" s="8" t="s">
        <v>664</v>
      </c>
      <c r="B75">
        <v>16</v>
      </c>
      <c r="C75" t="s">
        <v>2</v>
      </c>
      <c r="D75" t="s">
        <v>294</v>
      </c>
      <c r="E75" s="8" t="s">
        <v>183</v>
      </c>
      <c r="F75" s="53">
        <v>45664</v>
      </c>
      <c r="G75" t="s">
        <v>194</v>
      </c>
      <c r="H75" s="8" t="s">
        <v>310</v>
      </c>
      <c r="I75">
        <v>1</v>
      </c>
      <c r="J75">
        <v>0</v>
      </c>
      <c r="K75">
        <v>0</v>
      </c>
      <c r="L75">
        <v>0</v>
      </c>
      <c r="M75">
        <v>0</v>
      </c>
      <c r="N75">
        <v>0</v>
      </c>
      <c r="O75">
        <v>0</v>
      </c>
      <c r="P75">
        <v>0</v>
      </c>
      <c r="Q75">
        <v>0</v>
      </c>
      <c r="R75">
        <v>0</v>
      </c>
      <c r="S75">
        <v>0</v>
      </c>
      <c r="T75">
        <v>0</v>
      </c>
      <c r="U75">
        <v>0</v>
      </c>
      <c r="V75">
        <v>0</v>
      </c>
      <c r="W75">
        <v>0</v>
      </c>
    </row>
    <row r="76" spans="1:23" x14ac:dyDescent="0.3">
      <c r="A76" s="8" t="s">
        <v>665</v>
      </c>
      <c r="B76">
        <v>17</v>
      </c>
      <c r="C76" t="s">
        <v>2</v>
      </c>
      <c r="D76" t="s">
        <v>294</v>
      </c>
      <c r="E76" s="8" t="s">
        <v>183</v>
      </c>
      <c r="F76" s="53">
        <v>45616</v>
      </c>
      <c r="G76" t="s">
        <v>197</v>
      </c>
      <c r="H76" s="8" t="s">
        <v>311</v>
      </c>
      <c r="I76">
        <v>0</v>
      </c>
      <c r="J76">
        <v>1</v>
      </c>
      <c r="K76">
        <v>0</v>
      </c>
      <c r="L76">
        <v>0</v>
      </c>
      <c r="M76">
        <v>0</v>
      </c>
      <c r="N76">
        <v>1</v>
      </c>
      <c r="O76">
        <v>0</v>
      </c>
      <c r="P76">
        <v>0</v>
      </c>
      <c r="Q76">
        <v>0</v>
      </c>
      <c r="R76">
        <v>0</v>
      </c>
      <c r="S76">
        <v>0</v>
      </c>
      <c r="T76">
        <v>1</v>
      </c>
      <c r="U76">
        <v>0</v>
      </c>
      <c r="V76">
        <v>0</v>
      </c>
      <c r="W76">
        <v>0</v>
      </c>
    </row>
    <row r="77" spans="1:23" x14ac:dyDescent="0.3">
      <c r="A77" s="8" t="s">
        <v>666</v>
      </c>
      <c r="B77">
        <v>18</v>
      </c>
      <c r="C77" t="s">
        <v>2</v>
      </c>
      <c r="D77" t="s">
        <v>294</v>
      </c>
      <c r="E77" s="8" t="s">
        <v>183</v>
      </c>
      <c r="F77" s="53">
        <v>45600</v>
      </c>
      <c r="G77" t="s">
        <v>197</v>
      </c>
      <c r="H77" s="8" t="s">
        <v>312</v>
      </c>
      <c r="I77">
        <v>1</v>
      </c>
      <c r="J77">
        <v>0</v>
      </c>
      <c r="K77">
        <v>0</v>
      </c>
      <c r="L77">
        <v>0</v>
      </c>
      <c r="M77">
        <v>0</v>
      </c>
      <c r="N77">
        <v>0</v>
      </c>
      <c r="O77">
        <v>0</v>
      </c>
      <c r="P77">
        <v>0</v>
      </c>
      <c r="Q77">
        <v>0</v>
      </c>
      <c r="R77">
        <v>0</v>
      </c>
      <c r="S77">
        <v>0</v>
      </c>
      <c r="T77">
        <v>0</v>
      </c>
      <c r="U77">
        <v>0</v>
      </c>
      <c r="V77">
        <v>0</v>
      </c>
      <c r="W77">
        <v>0</v>
      </c>
    </row>
    <row r="78" spans="1:23" x14ac:dyDescent="0.3">
      <c r="A78" s="8" t="s">
        <v>667</v>
      </c>
      <c r="B78">
        <v>19</v>
      </c>
      <c r="C78" t="s">
        <v>2</v>
      </c>
      <c r="D78" t="s">
        <v>294</v>
      </c>
      <c r="E78" s="8" t="s">
        <v>183</v>
      </c>
      <c r="F78" s="53">
        <v>45483</v>
      </c>
      <c r="G78" t="s">
        <v>200</v>
      </c>
      <c r="H78" s="8" t="s">
        <v>313</v>
      </c>
      <c r="I78">
        <v>0</v>
      </c>
      <c r="J78">
        <v>1</v>
      </c>
      <c r="K78">
        <v>0</v>
      </c>
      <c r="L78">
        <v>0</v>
      </c>
      <c r="M78">
        <v>0</v>
      </c>
      <c r="N78">
        <v>0</v>
      </c>
      <c r="O78">
        <v>0</v>
      </c>
      <c r="P78">
        <v>0</v>
      </c>
      <c r="Q78">
        <v>0</v>
      </c>
      <c r="R78">
        <v>0</v>
      </c>
      <c r="S78">
        <v>0</v>
      </c>
      <c r="T78">
        <v>1</v>
      </c>
      <c r="U78">
        <v>1</v>
      </c>
      <c r="V78">
        <v>0</v>
      </c>
      <c r="W78">
        <v>0</v>
      </c>
    </row>
    <row r="79" spans="1:23" x14ac:dyDescent="0.3">
      <c r="A79" s="8" t="s">
        <v>668</v>
      </c>
      <c r="B79">
        <v>20</v>
      </c>
      <c r="C79" t="s">
        <v>2</v>
      </c>
      <c r="D79" t="s">
        <v>294</v>
      </c>
      <c r="E79" s="8" t="s">
        <v>183</v>
      </c>
      <c r="F79" s="53">
        <v>45480</v>
      </c>
      <c r="G79" t="s">
        <v>200</v>
      </c>
      <c r="H79" s="8" t="s">
        <v>314</v>
      </c>
      <c r="I79">
        <v>1</v>
      </c>
      <c r="J79">
        <v>0</v>
      </c>
      <c r="K79">
        <v>0</v>
      </c>
      <c r="L79">
        <v>0</v>
      </c>
      <c r="M79">
        <v>0</v>
      </c>
      <c r="N79">
        <v>0</v>
      </c>
      <c r="O79">
        <v>0</v>
      </c>
      <c r="P79">
        <v>0</v>
      </c>
      <c r="Q79">
        <v>0</v>
      </c>
      <c r="R79">
        <v>0</v>
      </c>
      <c r="S79">
        <v>0</v>
      </c>
      <c r="T79">
        <v>0</v>
      </c>
      <c r="U79">
        <v>0</v>
      </c>
      <c r="V79">
        <v>0</v>
      </c>
      <c r="W79">
        <v>0</v>
      </c>
    </row>
    <row r="80" spans="1:23" x14ac:dyDescent="0.3">
      <c r="A80" s="8" t="s">
        <v>449</v>
      </c>
      <c r="B80">
        <v>21</v>
      </c>
      <c r="C80" t="s">
        <v>2</v>
      </c>
      <c r="D80" t="s">
        <v>294</v>
      </c>
      <c r="E80" s="8" t="s">
        <v>183</v>
      </c>
      <c r="F80" s="53">
        <v>45471</v>
      </c>
      <c r="G80" t="s">
        <v>264</v>
      </c>
      <c r="H80" s="8" t="s">
        <v>315</v>
      </c>
      <c r="I80">
        <v>0</v>
      </c>
      <c r="J80">
        <v>1</v>
      </c>
      <c r="K80">
        <v>0</v>
      </c>
      <c r="L80">
        <v>0</v>
      </c>
      <c r="M80">
        <v>0</v>
      </c>
      <c r="N80">
        <v>1</v>
      </c>
      <c r="O80">
        <v>0</v>
      </c>
      <c r="P80">
        <v>0</v>
      </c>
      <c r="Q80">
        <v>0</v>
      </c>
      <c r="R80">
        <v>0</v>
      </c>
      <c r="S80">
        <v>0</v>
      </c>
      <c r="T80">
        <v>1</v>
      </c>
      <c r="U80">
        <v>1</v>
      </c>
      <c r="V80">
        <v>0</v>
      </c>
      <c r="W80">
        <v>0</v>
      </c>
    </row>
    <row r="81" spans="1:23" x14ac:dyDescent="0.3">
      <c r="A81" s="8" t="s">
        <v>450</v>
      </c>
      <c r="B81">
        <v>22</v>
      </c>
      <c r="C81" t="s">
        <v>2</v>
      </c>
      <c r="D81" t="s">
        <v>294</v>
      </c>
      <c r="E81" s="8" t="s">
        <v>183</v>
      </c>
      <c r="F81" s="53">
        <v>45350</v>
      </c>
      <c r="G81" t="s">
        <v>203</v>
      </c>
      <c r="H81" s="8" t="s">
        <v>316</v>
      </c>
      <c r="I81">
        <v>0</v>
      </c>
      <c r="J81">
        <v>1</v>
      </c>
      <c r="K81">
        <v>0</v>
      </c>
      <c r="L81">
        <v>0</v>
      </c>
      <c r="M81">
        <v>0</v>
      </c>
      <c r="N81">
        <v>1</v>
      </c>
      <c r="O81">
        <v>0</v>
      </c>
      <c r="P81">
        <v>0</v>
      </c>
      <c r="Q81">
        <v>0</v>
      </c>
      <c r="R81">
        <v>0</v>
      </c>
      <c r="S81">
        <v>0</v>
      </c>
      <c r="T81">
        <v>1</v>
      </c>
      <c r="U81">
        <v>1</v>
      </c>
      <c r="V81">
        <v>0</v>
      </c>
      <c r="W81">
        <v>0</v>
      </c>
    </row>
    <row r="82" spans="1:23" x14ac:dyDescent="0.3">
      <c r="A82" s="8" t="s">
        <v>451</v>
      </c>
      <c r="B82">
        <v>23</v>
      </c>
      <c r="C82" t="s">
        <v>2</v>
      </c>
      <c r="D82" t="s">
        <v>294</v>
      </c>
      <c r="E82" s="8" t="s">
        <v>183</v>
      </c>
      <c r="F82" s="53">
        <v>45330</v>
      </c>
      <c r="G82" t="s">
        <v>203</v>
      </c>
      <c r="H82" s="8" t="s">
        <v>317</v>
      </c>
      <c r="I82">
        <v>0</v>
      </c>
      <c r="J82">
        <v>1</v>
      </c>
      <c r="K82">
        <v>0</v>
      </c>
      <c r="L82">
        <v>0</v>
      </c>
      <c r="M82">
        <v>0</v>
      </c>
      <c r="N82">
        <v>1</v>
      </c>
      <c r="O82">
        <v>0</v>
      </c>
      <c r="P82">
        <v>0</v>
      </c>
      <c r="Q82">
        <v>0</v>
      </c>
      <c r="R82">
        <v>0</v>
      </c>
      <c r="S82">
        <v>0</v>
      </c>
      <c r="T82">
        <v>1</v>
      </c>
      <c r="U82">
        <v>1</v>
      </c>
      <c r="V82">
        <v>0</v>
      </c>
      <c r="W82">
        <v>0</v>
      </c>
    </row>
    <row r="83" spans="1:23" x14ac:dyDescent="0.3">
      <c r="A83" s="8" t="s">
        <v>452</v>
      </c>
      <c r="B83">
        <v>24</v>
      </c>
      <c r="C83" t="s">
        <v>2</v>
      </c>
      <c r="D83" t="s">
        <v>294</v>
      </c>
      <c r="E83" s="8" t="s">
        <v>183</v>
      </c>
      <c r="F83" s="53">
        <v>45323</v>
      </c>
      <c r="G83" t="s">
        <v>203</v>
      </c>
      <c r="H83" s="8" t="s">
        <v>318</v>
      </c>
      <c r="I83">
        <v>0</v>
      </c>
      <c r="J83">
        <v>1</v>
      </c>
      <c r="K83">
        <v>0</v>
      </c>
      <c r="L83">
        <v>0</v>
      </c>
      <c r="M83">
        <v>0</v>
      </c>
      <c r="N83">
        <v>1</v>
      </c>
      <c r="O83">
        <v>0</v>
      </c>
      <c r="P83">
        <v>0</v>
      </c>
      <c r="Q83">
        <v>0</v>
      </c>
      <c r="R83">
        <v>0</v>
      </c>
      <c r="S83">
        <v>0</v>
      </c>
      <c r="T83">
        <v>1</v>
      </c>
      <c r="U83">
        <v>1</v>
      </c>
      <c r="V83">
        <v>0</v>
      </c>
      <c r="W83">
        <v>0</v>
      </c>
    </row>
    <row r="84" spans="1:23" x14ac:dyDescent="0.3">
      <c r="A84" s="8" t="s">
        <v>453</v>
      </c>
      <c r="B84">
        <v>25</v>
      </c>
      <c r="C84" t="s">
        <v>2</v>
      </c>
      <c r="D84" t="s">
        <v>294</v>
      </c>
      <c r="E84" s="8" t="s">
        <v>183</v>
      </c>
      <c r="F84" s="53">
        <v>45316</v>
      </c>
      <c r="G84" t="s">
        <v>203</v>
      </c>
      <c r="H84" s="8" t="s">
        <v>319</v>
      </c>
      <c r="I84">
        <v>0</v>
      </c>
      <c r="J84">
        <v>1</v>
      </c>
      <c r="K84">
        <v>0</v>
      </c>
      <c r="L84">
        <v>0</v>
      </c>
      <c r="M84">
        <v>0</v>
      </c>
      <c r="N84">
        <v>0</v>
      </c>
      <c r="O84">
        <v>0</v>
      </c>
      <c r="P84">
        <v>0</v>
      </c>
      <c r="Q84">
        <v>0</v>
      </c>
      <c r="R84">
        <v>0</v>
      </c>
      <c r="S84">
        <v>0</v>
      </c>
      <c r="T84">
        <v>1</v>
      </c>
      <c r="U84">
        <v>1</v>
      </c>
      <c r="V84">
        <v>0</v>
      </c>
      <c r="W84">
        <v>0</v>
      </c>
    </row>
    <row r="85" spans="1:23" x14ac:dyDescent="0.3">
      <c r="A85" s="8" t="s">
        <v>454</v>
      </c>
      <c r="B85">
        <v>26</v>
      </c>
      <c r="C85" t="s">
        <v>2</v>
      </c>
      <c r="D85" t="s">
        <v>294</v>
      </c>
      <c r="E85" s="8" t="s">
        <v>183</v>
      </c>
      <c r="F85" s="53">
        <v>45305</v>
      </c>
      <c r="G85" t="s">
        <v>203</v>
      </c>
      <c r="H85" s="8" t="s">
        <v>320</v>
      </c>
      <c r="I85">
        <v>0</v>
      </c>
      <c r="J85">
        <v>1</v>
      </c>
      <c r="K85">
        <v>0</v>
      </c>
      <c r="L85">
        <v>0</v>
      </c>
      <c r="M85">
        <v>0</v>
      </c>
      <c r="N85">
        <v>1</v>
      </c>
      <c r="O85">
        <v>0</v>
      </c>
      <c r="P85">
        <v>0</v>
      </c>
      <c r="Q85">
        <v>0</v>
      </c>
      <c r="R85">
        <v>0</v>
      </c>
      <c r="S85">
        <v>0</v>
      </c>
      <c r="T85">
        <v>1</v>
      </c>
      <c r="U85">
        <v>1</v>
      </c>
      <c r="V85">
        <v>0</v>
      </c>
      <c r="W85">
        <v>0</v>
      </c>
    </row>
    <row r="86" spans="1:23" x14ac:dyDescent="0.3">
      <c r="A86" s="8" t="s">
        <v>455</v>
      </c>
      <c r="B86">
        <v>27</v>
      </c>
      <c r="C86" t="s">
        <v>2</v>
      </c>
      <c r="D86" t="s">
        <v>294</v>
      </c>
      <c r="E86" s="8" t="s">
        <v>183</v>
      </c>
      <c r="F86" s="53">
        <v>45298</v>
      </c>
      <c r="G86" t="s">
        <v>203</v>
      </c>
      <c r="H86" s="8" t="s">
        <v>321</v>
      </c>
      <c r="I86">
        <v>0</v>
      </c>
      <c r="J86">
        <v>1</v>
      </c>
      <c r="K86">
        <v>0</v>
      </c>
      <c r="L86">
        <v>0</v>
      </c>
      <c r="M86">
        <v>0</v>
      </c>
      <c r="N86">
        <v>1</v>
      </c>
      <c r="O86">
        <v>0</v>
      </c>
      <c r="P86">
        <v>0</v>
      </c>
      <c r="Q86">
        <v>0</v>
      </c>
      <c r="R86">
        <v>0</v>
      </c>
      <c r="S86">
        <v>0</v>
      </c>
      <c r="T86">
        <v>0</v>
      </c>
      <c r="U86">
        <v>0</v>
      </c>
      <c r="V86">
        <v>0</v>
      </c>
      <c r="W86">
        <v>0</v>
      </c>
    </row>
    <row r="87" spans="1:23" x14ac:dyDescent="0.3">
      <c r="A87" s="8" t="s">
        <v>456</v>
      </c>
      <c r="B87">
        <v>28</v>
      </c>
      <c r="C87" t="s">
        <v>2</v>
      </c>
      <c r="D87" t="s">
        <v>294</v>
      </c>
      <c r="E87" s="8" t="s">
        <v>183</v>
      </c>
      <c r="F87" s="53">
        <v>45253</v>
      </c>
      <c r="G87" t="s">
        <v>207</v>
      </c>
      <c r="H87" s="8" t="s">
        <v>322</v>
      </c>
      <c r="I87">
        <v>0</v>
      </c>
      <c r="J87">
        <v>1</v>
      </c>
      <c r="K87">
        <v>0</v>
      </c>
      <c r="L87">
        <v>0</v>
      </c>
      <c r="M87">
        <v>0</v>
      </c>
      <c r="N87">
        <v>1</v>
      </c>
      <c r="O87">
        <v>0</v>
      </c>
      <c r="P87">
        <v>0</v>
      </c>
      <c r="Q87">
        <v>0</v>
      </c>
      <c r="R87">
        <v>0</v>
      </c>
      <c r="S87">
        <v>0</v>
      </c>
      <c r="T87">
        <v>1</v>
      </c>
      <c r="U87">
        <v>1</v>
      </c>
      <c r="V87">
        <v>0</v>
      </c>
      <c r="W87">
        <v>0</v>
      </c>
    </row>
    <row r="88" spans="1:23" x14ac:dyDescent="0.3">
      <c r="A88" s="8" t="s">
        <v>457</v>
      </c>
      <c r="B88">
        <v>29</v>
      </c>
      <c r="C88" t="s">
        <v>2</v>
      </c>
      <c r="D88" t="s">
        <v>294</v>
      </c>
      <c r="E88" s="8" t="s">
        <v>183</v>
      </c>
      <c r="F88" s="53">
        <v>45247</v>
      </c>
      <c r="G88" t="s">
        <v>207</v>
      </c>
      <c r="H88" s="8" t="s">
        <v>323</v>
      </c>
      <c r="I88">
        <v>1</v>
      </c>
      <c r="J88">
        <v>0</v>
      </c>
      <c r="K88">
        <v>0</v>
      </c>
      <c r="L88">
        <v>0</v>
      </c>
      <c r="M88">
        <v>0</v>
      </c>
      <c r="N88">
        <v>0</v>
      </c>
      <c r="O88">
        <v>0</v>
      </c>
      <c r="P88">
        <v>0</v>
      </c>
      <c r="Q88">
        <v>0</v>
      </c>
      <c r="R88">
        <v>0</v>
      </c>
      <c r="S88">
        <v>0</v>
      </c>
      <c r="T88">
        <v>0</v>
      </c>
      <c r="U88">
        <v>0</v>
      </c>
      <c r="V88">
        <v>0</v>
      </c>
      <c r="W88">
        <v>0</v>
      </c>
    </row>
    <row r="89" spans="1:23" x14ac:dyDescent="0.3">
      <c r="A89" s="8" t="s">
        <v>458</v>
      </c>
      <c r="B89">
        <v>30</v>
      </c>
      <c r="C89" t="s">
        <v>2</v>
      </c>
      <c r="D89" t="s">
        <v>294</v>
      </c>
      <c r="E89" s="8" t="s">
        <v>183</v>
      </c>
      <c r="F89" s="53">
        <v>45233</v>
      </c>
      <c r="G89" t="s">
        <v>207</v>
      </c>
      <c r="H89" s="8" t="s">
        <v>324</v>
      </c>
      <c r="I89">
        <v>1</v>
      </c>
      <c r="J89">
        <v>0</v>
      </c>
      <c r="K89">
        <v>0</v>
      </c>
      <c r="L89">
        <v>0</v>
      </c>
      <c r="M89">
        <v>0</v>
      </c>
      <c r="N89">
        <v>1</v>
      </c>
      <c r="O89">
        <v>0</v>
      </c>
      <c r="P89">
        <v>0</v>
      </c>
      <c r="Q89">
        <v>0</v>
      </c>
      <c r="R89">
        <v>0</v>
      </c>
      <c r="S89">
        <v>0</v>
      </c>
      <c r="T89">
        <v>0</v>
      </c>
      <c r="U89">
        <v>0</v>
      </c>
      <c r="V89">
        <v>0</v>
      </c>
      <c r="W89">
        <v>0</v>
      </c>
    </row>
    <row r="90" spans="1:23" x14ac:dyDescent="0.3">
      <c r="A90" s="8" t="s">
        <v>459</v>
      </c>
      <c r="B90">
        <v>31</v>
      </c>
      <c r="C90" t="s">
        <v>2</v>
      </c>
      <c r="D90" t="s">
        <v>294</v>
      </c>
      <c r="E90" s="8" t="s">
        <v>183</v>
      </c>
      <c r="F90" s="53">
        <v>45230</v>
      </c>
      <c r="G90" t="s">
        <v>207</v>
      </c>
      <c r="H90" s="8" t="s">
        <v>325</v>
      </c>
      <c r="I90">
        <v>0</v>
      </c>
      <c r="J90">
        <v>1</v>
      </c>
      <c r="K90">
        <v>0</v>
      </c>
      <c r="L90">
        <v>0</v>
      </c>
      <c r="M90">
        <v>0</v>
      </c>
      <c r="N90">
        <v>1</v>
      </c>
      <c r="O90">
        <v>0</v>
      </c>
      <c r="P90">
        <v>0</v>
      </c>
      <c r="Q90">
        <v>0</v>
      </c>
      <c r="R90">
        <v>0</v>
      </c>
      <c r="S90">
        <v>0</v>
      </c>
      <c r="T90">
        <v>1</v>
      </c>
      <c r="U90">
        <v>1</v>
      </c>
      <c r="V90">
        <v>0</v>
      </c>
      <c r="W90">
        <v>0</v>
      </c>
    </row>
    <row r="91" spans="1:23" x14ac:dyDescent="0.3">
      <c r="A91" s="8" t="s">
        <v>460</v>
      </c>
      <c r="B91">
        <v>32</v>
      </c>
      <c r="C91" t="s">
        <v>2</v>
      </c>
      <c r="D91" t="s">
        <v>294</v>
      </c>
      <c r="E91" s="8" t="s">
        <v>183</v>
      </c>
      <c r="F91" s="53">
        <v>45220</v>
      </c>
      <c r="G91" t="s">
        <v>207</v>
      </c>
      <c r="H91" s="8" t="s">
        <v>326</v>
      </c>
      <c r="I91">
        <v>1</v>
      </c>
      <c r="J91">
        <v>0</v>
      </c>
      <c r="K91">
        <v>0</v>
      </c>
      <c r="L91">
        <v>0</v>
      </c>
      <c r="M91">
        <v>0</v>
      </c>
      <c r="N91">
        <v>0</v>
      </c>
      <c r="O91">
        <v>0</v>
      </c>
      <c r="P91">
        <v>0</v>
      </c>
      <c r="Q91">
        <v>0</v>
      </c>
      <c r="R91">
        <v>0</v>
      </c>
      <c r="S91">
        <v>0</v>
      </c>
      <c r="T91">
        <v>0</v>
      </c>
      <c r="U91">
        <v>0</v>
      </c>
      <c r="V91">
        <v>0</v>
      </c>
      <c r="W91">
        <v>0</v>
      </c>
    </row>
    <row r="92" spans="1:23" x14ac:dyDescent="0.3">
      <c r="A92" s="8" t="s">
        <v>461</v>
      </c>
      <c r="B92">
        <v>33</v>
      </c>
      <c r="C92" t="s">
        <v>2</v>
      </c>
      <c r="D92" t="s">
        <v>294</v>
      </c>
      <c r="E92" s="8" t="s">
        <v>183</v>
      </c>
      <c r="F92" s="53">
        <v>45208</v>
      </c>
      <c r="G92" t="s">
        <v>207</v>
      </c>
      <c r="H92" s="8" t="s">
        <v>327</v>
      </c>
      <c r="I92">
        <v>1</v>
      </c>
      <c r="J92">
        <v>0</v>
      </c>
      <c r="K92">
        <v>0</v>
      </c>
      <c r="L92">
        <v>0</v>
      </c>
      <c r="M92">
        <v>0</v>
      </c>
      <c r="N92">
        <v>0</v>
      </c>
      <c r="O92">
        <v>0</v>
      </c>
      <c r="P92">
        <v>0</v>
      </c>
      <c r="Q92">
        <v>0</v>
      </c>
      <c r="R92">
        <v>0</v>
      </c>
      <c r="S92">
        <v>0</v>
      </c>
      <c r="T92">
        <v>0</v>
      </c>
      <c r="U92">
        <v>0</v>
      </c>
      <c r="V92">
        <v>0</v>
      </c>
      <c r="W92">
        <v>0</v>
      </c>
    </row>
    <row r="93" spans="1:23" x14ac:dyDescent="0.3">
      <c r="A93" s="8" t="s">
        <v>462</v>
      </c>
      <c r="B93">
        <v>34</v>
      </c>
      <c r="C93" t="s">
        <v>2</v>
      </c>
      <c r="D93" t="s">
        <v>294</v>
      </c>
      <c r="E93" s="8" t="s">
        <v>183</v>
      </c>
      <c r="F93" s="53">
        <v>45191</v>
      </c>
      <c r="G93" t="s">
        <v>212</v>
      </c>
      <c r="H93" s="8" t="s">
        <v>328</v>
      </c>
      <c r="I93">
        <v>0</v>
      </c>
      <c r="J93">
        <v>1</v>
      </c>
      <c r="K93">
        <v>0</v>
      </c>
      <c r="L93">
        <v>0</v>
      </c>
      <c r="M93">
        <v>0</v>
      </c>
      <c r="N93">
        <v>1</v>
      </c>
      <c r="O93">
        <v>0</v>
      </c>
      <c r="P93">
        <v>0</v>
      </c>
      <c r="Q93">
        <v>0</v>
      </c>
      <c r="R93">
        <v>0</v>
      </c>
      <c r="S93">
        <v>0</v>
      </c>
      <c r="T93">
        <v>1</v>
      </c>
      <c r="U93">
        <v>1</v>
      </c>
      <c r="V93">
        <v>0</v>
      </c>
      <c r="W93">
        <v>0</v>
      </c>
    </row>
    <row r="94" spans="1:23" x14ac:dyDescent="0.3">
      <c r="A94" s="8" t="s">
        <v>463</v>
      </c>
      <c r="B94">
        <v>35</v>
      </c>
      <c r="C94" t="s">
        <v>2</v>
      </c>
      <c r="D94" t="s">
        <v>294</v>
      </c>
      <c r="E94" s="8" t="s">
        <v>183</v>
      </c>
      <c r="F94" s="53">
        <v>45168</v>
      </c>
      <c r="G94" t="s">
        <v>212</v>
      </c>
      <c r="H94" s="8" t="s">
        <v>329</v>
      </c>
      <c r="I94">
        <v>0</v>
      </c>
      <c r="J94">
        <v>1</v>
      </c>
      <c r="K94">
        <v>0</v>
      </c>
      <c r="L94">
        <v>0</v>
      </c>
      <c r="M94">
        <v>0</v>
      </c>
      <c r="N94">
        <v>0</v>
      </c>
      <c r="O94">
        <v>0</v>
      </c>
      <c r="P94">
        <v>0</v>
      </c>
      <c r="Q94">
        <v>0</v>
      </c>
      <c r="R94">
        <v>0</v>
      </c>
      <c r="S94">
        <v>0</v>
      </c>
      <c r="T94">
        <v>1</v>
      </c>
      <c r="U94">
        <v>1</v>
      </c>
      <c r="V94">
        <v>0</v>
      </c>
      <c r="W94">
        <v>0</v>
      </c>
    </row>
    <row r="95" spans="1:23" x14ac:dyDescent="0.3">
      <c r="A95" s="8" t="s">
        <v>464</v>
      </c>
      <c r="B95">
        <v>36</v>
      </c>
      <c r="C95" t="s">
        <v>2</v>
      </c>
      <c r="D95" t="s">
        <v>294</v>
      </c>
      <c r="E95" s="8" t="s">
        <v>183</v>
      </c>
      <c r="F95" s="53">
        <v>44998</v>
      </c>
      <c r="G95" t="s">
        <v>216</v>
      </c>
      <c r="H95" s="8" t="s">
        <v>330</v>
      </c>
      <c r="I95">
        <v>0</v>
      </c>
      <c r="J95">
        <v>1</v>
      </c>
      <c r="K95">
        <v>0</v>
      </c>
      <c r="L95">
        <v>0</v>
      </c>
      <c r="M95">
        <v>0</v>
      </c>
      <c r="N95">
        <v>1</v>
      </c>
      <c r="O95">
        <v>0</v>
      </c>
      <c r="P95">
        <v>0</v>
      </c>
      <c r="Q95">
        <v>0</v>
      </c>
      <c r="R95">
        <v>0</v>
      </c>
      <c r="S95">
        <v>0</v>
      </c>
      <c r="T95">
        <v>1</v>
      </c>
      <c r="U95">
        <v>1</v>
      </c>
      <c r="V95">
        <v>0</v>
      </c>
      <c r="W95">
        <v>0</v>
      </c>
    </row>
    <row r="96" spans="1:23" x14ac:dyDescent="0.3">
      <c r="A96" s="8" t="s">
        <v>669</v>
      </c>
      <c r="B96">
        <v>37</v>
      </c>
      <c r="C96" t="s">
        <v>2</v>
      </c>
      <c r="D96" t="s">
        <v>294</v>
      </c>
      <c r="E96" s="8" t="s">
        <v>220</v>
      </c>
      <c r="F96" s="53">
        <v>46104</v>
      </c>
      <c r="G96" t="s">
        <v>184</v>
      </c>
      <c r="H96" s="8" t="s">
        <v>331</v>
      </c>
      <c r="I96">
        <v>1</v>
      </c>
      <c r="J96">
        <v>0</v>
      </c>
      <c r="K96">
        <v>0</v>
      </c>
      <c r="L96">
        <v>0</v>
      </c>
      <c r="M96">
        <v>0</v>
      </c>
      <c r="N96">
        <v>0</v>
      </c>
      <c r="O96">
        <v>0</v>
      </c>
      <c r="P96">
        <v>0</v>
      </c>
      <c r="Q96">
        <v>0</v>
      </c>
      <c r="R96">
        <v>0</v>
      </c>
      <c r="S96">
        <v>0</v>
      </c>
      <c r="T96">
        <v>0</v>
      </c>
      <c r="U96">
        <v>0</v>
      </c>
      <c r="V96">
        <v>0</v>
      </c>
      <c r="W96">
        <v>0</v>
      </c>
    </row>
    <row r="97" spans="1:23" x14ac:dyDescent="0.3">
      <c r="A97" s="8" t="s">
        <v>670</v>
      </c>
      <c r="B97">
        <v>38</v>
      </c>
      <c r="C97" t="s">
        <v>2</v>
      </c>
      <c r="D97" t="s">
        <v>294</v>
      </c>
      <c r="E97" s="8" t="s">
        <v>220</v>
      </c>
      <c r="F97" s="53">
        <v>46096</v>
      </c>
      <c r="G97" t="s">
        <v>184</v>
      </c>
      <c r="H97" s="8" t="s">
        <v>332</v>
      </c>
      <c r="I97">
        <v>1</v>
      </c>
      <c r="J97">
        <v>0</v>
      </c>
      <c r="K97">
        <v>0</v>
      </c>
      <c r="L97">
        <v>0</v>
      </c>
      <c r="M97">
        <v>0</v>
      </c>
      <c r="N97">
        <v>0</v>
      </c>
      <c r="O97">
        <v>0</v>
      </c>
      <c r="P97">
        <v>0</v>
      </c>
      <c r="Q97">
        <v>0</v>
      </c>
      <c r="R97">
        <v>0</v>
      </c>
      <c r="S97">
        <v>0</v>
      </c>
      <c r="T97">
        <v>0</v>
      </c>
      <c r="U97">
        <v>0</v>
      </c>
      <c r="V97">
        <v>0</v>
      </c>
      <c r="W97">
        <v>0</v>
      </c>
    </row>
    <row r="98" spans="1:23" x14ac:dyDescent="0.3">
      <c r="A98" s="8" t="s">
        <v>671</v>
      </c>
      <c r="B98">
        <v>39</v>
      </c>
      <c r="C98" t="s">
        <v>2</v>
      </c>
      <c r="D98" t="s">
        <v>294</v>
      </c>
      <c r="E98" s="8" t="s">
        <v>220</v>
      </c>
      <c r="F98" s="53">
        <v>46092</v>
      </c>
      <c r="G98" t="s">
        <v>184</v>
      </c>
      <c r="H98" s="8" t="s">
        <v>333</v>
      </c>
      <c r="I98">
        <v>1</v>
      </c>
      <c r="J98">
        <v>0</v>
      </c>
      <c r="K98">
        <v>0</v>
      </c>
      <c r="L98">
        <v>0</v>
      </c>
      <c r="M98">
        <v>0</v>
      </c>
      <c r="N98">
        <v>0</v>
      </c>
      <c r="O98">
        <v>0</v>
      </c>
      <c r="P98">
        <v>0</v>
      </c>
      <c r="Q98">
        <v>0</v>
      </c>
      <c r="R98">
        <v>0</v>
      </c>
      <c r="S98">
        <v>0</v>
      </c>
      <c r="T98">
        <v>0</v>
      </c>
      <c r="U98">
        <v>0</v>
      </c>
      <c r="V98">
        <v>0</v>
      </c>
      <c r="W98">
        <v>0</v>
      </c>
    </row>
    <row r="99" spans="1:23" x14ac:dyDescent="0.3">
      <c r="A99" s="8" t="s">
        <v>672</v>
      </c>
      <c r="B99">
        <v>40</v>
      </c>
      <c r="C99" t="s">
        <v>2</v>
      </c>
      <c r="D99" t="s">
        <v>294</v>
      </c>
      <c r="E99" s="8" t="s">
        <v>220</v>
      </c>
      <c r="F99" s="53">
        <v>46078</v>
      </c>
      <c r="G99" t="s">
        <v>184</v>
      </c>
      <c r="H99" s="8" t="s">
        <v>334</v>
      </c>
      <c r="I99">
        <v>0</v>
      </c>
      <c r="J99">
        <v>0</v>
      </c>
      <c r="K99">
        <v>0</v>
      </c>
      <c r="L99">
        <v>0</v>
      </c>
      <c r="M99">
        <v>0</v>
      </c>
      <c r="N99">
        <v>1</v>
      </c>
      <c r="O99">
        <v>0</v>
      </c>
      <c r="P99">
        <v>0</v>
      </c>
      <c r="Q99">
        <v>0</v>
      </c>
      <c r="R99">
        <v>0</v>
      </c>
      <c r="S99">
        <v>0</v>
      </c>
      <c r="T99">
        <v>1</v>
      </c>
      <c r="U99">
        <v>1</v>
      </c>
      <c r="V99">
        <v>0</v>
      </c>
      <c r="W99">
        <v>0</v>
      </c>
    </row>
    <row r="100" spans="1:23" x14ac:dyDescent="0.3">
      <c r="A100" s="8" t="s">
        <v>673</v>
      </c>
      <c r="B100">
        <v>41</v>
      </c>
      <c r="C100" t="s">
        <v>2</v>
      </c>
      <c r="D100" t="s">
        <v>294</v>
      </c>
      <c r="E100" s="8" t="s">
        <v>220</v>
      </c>
      <c r="F100" s="53">
        <v>46074</v>
      </c>
      <c r="G100" t="s">
        <v>184</v>
      </c>
      <c r="H100" s="8" t="s">
        <v>335</v>
      </c>
      <c r="I100">
        <v>0</v>
      </c>
      <c r="J100">
        <v>1</v>
      </c>
      <c r="K100">
        <v>0</v>
      </c>
      <c r="L100">
        <v>0</v>
      </c>
      <c r="M100">
        <v>0</v>
      </c>
      <c r="N100">
        <v>0</v>
      </c>
      <c r="O100">
        <v>0</v>
      </c>
      <c r="P100">
        <v>0</v>
      </c>
      <c r="Q100">
        <v>0</v>
      </c>
      <c r="R100">
        <v>0</v>
      </c>
      <c r="S100">
        <v>0</v>
      </c>
      <c r="T100">
        <v>1</v>
      </c>
      <c r="U100">
        <v>1</v>
      </c>
      <c r="V100">
        <v>0</v>
      </c>
      <c r="W100">
        <v>0</v>
      </c>
    </row>
    <row r="101" spans="1:23" x14ac:dyDescent="0.3">
      <c r="A101" s="8" t="s">
        <v>674</v>
      </c>
      <c r="B101">
        <v>42</v>
      </c>
      <c r="C101" t="s">
        <v>2</v>
      </c>
      <c r="D101" t="s">
        <v>294</v>
      </c>
      <c r="E101" s="8" t="s">
        <v>220</v>
      </c>
      <c r="F101" s="53">
        <v>46066</v>
      </c>
      <c r="G101" t="s">
        <v>184</v>
      </c>
      <c r="H101" s="8" t="s">
        <v>336</v>
      </c>
      <c r="I101">
        <v>1</v>
      </c>
      <c r="J101">
        <v>0</v>
      </c>
      <c r="K101">
        <v>0</v>
      </c>
      <c r="L101">
        <v>0</v>
      </c>
      <c r="M101">
        <v>0</v>
      </c>
      <c r="N101">
        <v>0</v>
      </c>
      <c r="O101">
        <v>0</v>
      </c>
      <c r="P101">
        <v>0</v>
      </c>
      <c r="Q101">
        <v>0</v>
      </c>
      <c r="R101">
        <v>0</v>
      </c>
      <c r="S101">
        <v>0</v>
      </c>
      <c r="T101">
        <v>0</v>
      </c>
      <c r="U101">
        <v>0</v>
      </c>
      <c r="V101">
        <v>0</v>
      </c>
      <c r="W101">
        <v>0</v>
      </c>
    </row>
    <row r="102" spans="1:23" x14ac:dyDescent="0.3">
      <c r="A102" s="8" t="s">
        <v>675</v>
      </c>
      <c r="B102">
        <v>43</v>
      </c>
      <c r="C102" t="s">
        <v>2</v>
      </c>
      <c r="D102" t="s">
        <v>294</v>
      </c>
      <c r="E102" s="8" t="s">
        <v>220</v>
      </c>
      <c r="F102" s="53">
        <v>46065</v>
      </c>
      <c r="G102" t="s">
        <v>184</v>
      </c>
      <c r="H102" s="8" t="s">
        <v>337</v>
      </c>
      <c r="I102">
        <v>1</v>
      </c>
      <c r="J102">
        <v>0</v>
      </c>
      <c r="K102">
        <v>0</v>
      </c>
      <c r="L102">
        <v>0</v>
      </c>
      <c r="M102">
        <v>0</v>
      </c>
      <c r="N102">
        <v>1</v>
      </c>
      <c r="O102">
        <v>0</v>
      </c>
      <c r="P102">
        <v>0</v>
      </c>
      <c r="Q102">
        <v>0</v>
      </c>
      <c r="R102">
        <v>0</v>
      </c>
      <c r="S102">
        <v>0</v>
      </c>
      <c r="T102">
        <v>1</v>
      </c>
      <c r="U102">
        <v>1</v>
      </c>
      <c r="V102">
        <v>0</v>
      </c>
      <c r="W102">
        <v>0</v>
      </c>
    </row>
    <row r="103" spans="1:23" x14ac:dyDescent="0.3">
      <c r="A103" s="8" t="s">
        <v>676</v>
      </c>
      <c r="B103">
        <v>44</v>
      </c>
      <c r="C103" t="s">
        <v>2</v>
      </c>
      <c r="D103" t="s">
        <v>294</v>
      </c>
      <c r="E103" s="8" t="s">
        <v>220</v>
      </c>
      <c r="F103" s="53">
        <v>46063</v>
      </c>
      <c r="G103" t="s">
        <v>184</v>
      </c>
      <c r="H103" s="8" t="s">
        <v>338</v>
      </c>
      <c r="I103">
        <v>0</v>
      </c>
      <c r="J103">
        <v>1</v>
      </c>
      <c r="K103">
        <v>0</v>
      </c>
      <c r="L103">
        <v>0</v>
      </c>
      <c r="M103">
        <v>0</v>
      </c>
      <c r="N103">
        <v>1</v>
      </c>
      <c r="O103">
        <v>0</v>
      </c>
      <c r="P103">
        <v>0</v>
      </c>
      <c r="Q103">
        <v>0</v>
      </c>
      <c r="R103">
        <v>0</v>
      </c>
      <c r="S103">
        <v>0</v>
      </c>
      <c r="T103">
        <v>1</v>
      </c>
      <c r="U103">
        <v>1</v>
      </c>
      <c r="V103">
        <v>0</v>
      </c>
      <c r="W103">
        <v>0</v>
      </c>
    </row>
    <row r="104" spans="1:23" x14ac:dyDescent="0.3">
      <c r="A104" s="8" t="s">
        <v>677</v>
      </c>
      <c r="B104">
        <v>45</v>
      </c>
      <c r="C104" t="s">
        <v>2</v>
      </c>
      <c r="D104" t="s">
        <v>294</v>
      </c>
      <c r="E104" s="8" t="s">
        <v>220</v>
      </c>
      <c r="F104" s="53">
        <v>46060</v>
      </c>
      <c r="G104" t="s">
        <v>184</v>
      </c>
      <c r="H104" s="8" t="s">
        <v>339</v>
      </c>
      <c r="I104">
        <v>0</v>
      </c>
      <c r="J104">
        <v>0</v>
      </c>
      <c r="K104">
        <v>0</v>
      </c>
      <c r="L104">
        <v>0</v>
      </c>
      <c r="M104">
        <v>0</v>
      </c>
      <c r="N104">
        <v>1</v>
      </c>
      <c r="O104">
        <v>0</v>
      </c>
      <c r="P104">
        <v>0</v>
      </c>
      <c r="Q104">
        <v>0</v>
      </c>
      <c r="R104">
        <v>0</v>
      </c>
      <c r="S104">
        <v>0</v>
      </c>
      <c r="T104">
        <v>1</v>
      </c>
      <c r="U104">
        <v>1</v>
      </c>
      <c r="V104">
        <v>0</v>
      </c>
      <c r="W104">
        <v>0</v>
      </c>
    </row>
    <row r="105" spans="1:23" x14ac:dyDescent="0.3">
      <c r="A105" s="8" t="s">
        <v>678</v>
      </c>
      <c r="B105">
        <v>46</v>
      </c>
      <c r="C105" t="s">
        <v>2</v>
      </c>
      <c r="D105" t="s">
        <v>294</v>
      </c>
      <c r="E105" s="8" t="s">
        <v>220</v>
      </c>
      <c r="F105" s="53">
        <v>46060</v>
      </c>
      <c r="G105" t="s">
        <v>184</v>
      </c>
      <c r="H105" s="8" t="s">
        <v>340</v>
      </c>
      <c r="I105">
        <v>1</v>
      </c>
      <c r="J105">
        <v>0</v>
      </c>
      <c r="K105">
        <v>0</v>
      </c>
      <c r="L105">
        <v>0</v>
      </c>
      <c r="M105">
        <v>0</v>
      </c>
      <c r="N105">
        <v>0</v>
      </c>
      <c r="O105">
        <v>0</v>
      </c>
      <c r="P105">
        <v>0</v>
      </c>
      <c r="Q105">
        <v>0</v>
      </c>
      <c r="R105">
        <v>0</v>
      </c>
      <c r="S105">
        <v>0</v>
      </c>
      <c r="T105">
        <v>0</v>
      </c>
      <c r="U105">
        <v>0</v>
      </c>
      <c r="V105">
        <v>0</v>
      </c>
      <c r="W105">
        <v>0</v>
      </c>
    </row>
    <row r="106" spans="1:23" x14ac:dyDescent="0.3">
      <c r="A106" s="8" t="s">
        <v>679</v>
      </c>
      <c r="B106">
        <v>47</v>
      </c>
      <c r="C106" t="s">
        <v>2</v>
      </c>
      <c r="D106" t="s">
        <v>294</v>
      </c>
      <c r="E106" s="8" t="s">
        <v>220</v>
      </c>
      <c r="F106" s="53">
        <v>46060</v>
      </c>
      <c r="G106" t="s">
        <v>184</v>
      </c>
      <c r="H106" s="8" t="s">
        <v>341</v>
      </c>
      <c r="I106">
        <v>1</v>
      </c>
      <c r="J106">
        <v>0</v>
      </c>
      <c r="K106">
        <v>0</v>
      </c>
      <c r="L106">
        <v>0</v>
      </c>
      <c r="M106">
        <v>0</v>
      </c>
      <c r="N106">
        <v>0</v>
      </c>
      <c r="O106">
        <v>0</v>
      </c>
      <c r="P106">
        <v>0</v>
      </c>
      <c r="Q106">
        <v>0</v>
      </c>
      <c r="R106">
        <v>0</v>
      </c>
      <c r="S106">
        <v>0</v>
      </c>
      <c r="T106">
        <v>0</v>
      </c>
      <c r="U106">
        <v>0</v>
      </c>
      <c r="V106">
        <v>0</v>
      </c>
      <c r="W106">
        <v>0</v>
      </c>
    </row>
    <row r="107" spans="1:23" x14ac:dyDescent="0.3">
      <c r="A107" s="8" t="s">
        <v>680</v>
      </c>
      <c r="B107">
        <v>48</v>
      </c>
      <c r="C107" t="s">
        <v>2</v>
      </c>
      <c r="D107" t="s">
        <v>294</v>
      </c>
      <c r="E107" s="8" t="s">
        <v>220</v>
      </c>
      <c r="F107" s="53">
        <v>46059</v>
      </c>
      <c r="G107" t="s">
        <v>184</v>
      </c>
      <c r="H107" s="8" t="s">
        <v>342</v>
      </c>
      <c r="I107">
        <v>0</v>
      </c>
      <c r="J107">
        <v>0</v>
      </c>
      <c r="K107">
        <v>0</v>
      </c>
      <c r="L107">
        <v>1</v>
      </c>
      <c r="M107">
        <v>0</v>
      </c>
      <c r="N107">
        <v>0</v>
      </c>
      <c r="O107">
        <v>0</v>
      </c>
      <c r="P107">
        <v>0</v>
      </c>
      <c r="Q107">
        <v>0</v>
      </c>
      <c r="R107">
        <v>1</v>
      </c>
      <c r="S107">
        <v>0</v>
      </c>
      <c r="T107">
        <v>0</v>
      </c>
      <c r="U107">
        <v>1</v>
      </c>
      <c r="V107">
        <v>0</v>
      </c>
      <c r="W107">
        <v>0</v>
      </c>
    </row>
    <row r="108" spans="1:23" x14ac:dyDescent="0.3">
      <c r="A108" s="8" t="s">
        <v>681</v>
      </c>
      <c r="B108">
        <v>49</v>
      </c>
      <c r="C108" t="s">
        <v>2</v>
      </c>
      <c r="D108" t="s">
        <v>294</v>
      </c>
      <c r="E108" s="8" t="s">
        <v>220</v>
      </c>
      <c r="F108" s="53">
        <v>46058</v>
      </c>
      <c r="G108" t="s">
        <v>184</v>
      </c>
      <c r="H108" s="8" t="s">
        <v>343</v>
      </c>
      <c r="I108">
        <v>0</v>
      </c>
      <c r="J108">
        <v>1</v>
      </c>
      <c r="K108">
        <v>0</v>
      </c>
      <c r="L108">
        <v>0</v>
      </c>
      <c r="M108">
        <v>0</v>
      </c>
      <c r="N108">
        <v>0</v>
      </c>
      <c r="O108">
        <v>0</v>
      </c>
      <c r="P108">
        <v>0</v>
      </c>
      <c r="Q108">
        <v>0</v>
      </c>
      <c r="R108">
        <v>1</v>
      </c>
      <c r="S108">
        <v>0</v>
      </c>
      <c r="T108">
        <v>0</v>
      </c>
      <c r="U108">
        <v>0</v>
      </c>
      <c r="V108">
        <v>0</v>
      </c>
      <c r="W108">
        <v>0</v>
      </c>
    </row>
    <row r="109" spans="1:23" x14ac:dyDescent="0.3">
      <c r="A109" s="8" t="s">
        <v>682</v>
      </c>
      <c r="B109">
        <v>50</v>
      </c>
      <c r="C109" t="s">
        <v>2</v>
      </c>
      <c r="D109" t="s">
        <v>294</v>
      </c>
      <c r="E109" s="8" t="s">
        <v>220</v>
      </c>
      <c r="F109" s="53">
        <v>46051</v>
      </c>
      <c r="G109" t="s">
        <v>184</v>
      </c>
      <c r="H109" s="8" t="s">
        <v>344</v>
      </c>
      <c r="I109">
        <v>0</v>
      </c>
      <c r="J109">
        <v>0</v>
      </c>
      <c r="K109">
        <v>0</v>
      </c>
      <c r="L109">
        <v>0</v>
      </c>
      <c r="M109">
        <v>0</v>
      </c>
      <c r="N109">
        <v>1</v>
      </c>
      <c r="O109">
        <v>0</v>
      </c>
      <c r="P109">
        <v>0</v>
      </c>
      <c r="Q109">
        <v>0</v>
      </c>
      <c r="R109">
        <v>0</v>
      </c>
      <c r="S109">
        <v>0</v>
      </c>
      <c r="T109">
        <v>1</v>
      </c>
      <c r="U109">
        <v>1</v>
      </c>
      <c r="V109">
        <v>0</v>
      </c>
      <c r="W109">
        <v>0</v>
      </c>
    </row>
    <row r="110" spans="1:23" x14ac:dyDescent="0.3">
      <c r="A110" s="8" t="s">
        <v>683</v>
      </c>
      <c r="B110">
        <v>51</v>
      </c>
      <c r="C110" t="s">
        <v>2</v>
      </c>
      <c r="D110" t="s">
        <v>294</v>
      </c>
      <c r="E110" s="8" t="s">
        <v>220</v>
      </c>
      <c r="F110" s="53">
        <v>46047</v>
      </c>
      <c r="G110" t="s">
        <v>184</v>
      </c>
      <c r="H110" s="8" t="s">
        <v>345</v>
      </c>
      <c r="I110">
        <v>1</v>
      </c>
      <c r="J110">
        <v>0</v>
      </c>
      <c r="K110">
        <v>0</v>
      </c>
      <c r="L110">
        <v>0</v>
      </c>
      <c r="M110">
        <v>0</v>
      </c>
      <c r="N110">
        <v>0</v>
      </c>
      <c r="O110">
        <v>0</v>
      </c>
      <c r="P110">
        <v>0</v>
      </c>
      <c r="Q110">
        <v>0</v>
      </c>
      <c r="R110">
        <v>0</v>
      </c>
      <c r="S110">
        <v>0</v>
      </c>
      <c r="T110">
        <v>0</v>
      </c>
      <c r="U110">
        <v>0</v>
      </c>
      <c r="V110">
        <v>0</v>
      </c>
      <c r="W110">
        <v>0</v>
      </c>
    </row>
    <row r="111" spans="1:23" x14ac:dyDescent="0.3">
      <c r="A111" s="8" t="s">
        <v>684</v>
      </c>
      <c r="B111">
        <v>52</v>
      </c>
      <c r="C111" t="s">
        <v>2</v>
      </c>
      <c r="D111" t="s">
        <v>294</v>
      </c>
      <c r="E111" s="8" t="s">
        <v>220</v>
      </c>
      <c r="F111" s="53">
        <v>46047</v>
      </c>
      <c r="G111" t="s">
        <v>184</v>
      </c>
      <c r="H111" s="8" t="s">
        <v>346</v>
      </c>
      <c r="I111">
        <v>1</v>
      </c>
      <c r="J111">
        <v>0</v>
      </c>
      <c r="K111">
        <v>0</v>
      </c>
      <c r="L111">
        <v>0</v>
      </c>
      <c r="M111">
        <v>0</v>
      </c>
      <c r="N111">
        <v>0</v>
      </c>
      <c r="O111">
        <v>0</v>
      </c>
      <c r="P111">
        <v>0</v>
      </c>
      <c r="Q111">
        <v>0</v>
      </c>
      <c r="R111">
        <v>0</v>
      </c>
      <c r="S111">
        <v>0</v>
      </c>
      <c r="T111">
        <v>0</v>
      </c>
      <c r="U111">
        <v>0</v>
      </c>
      <c r="V111">
        <v>0</v>
      </c>
      <c r="W111">
        <v>0</v>
      </c>
    </row>
    <row r="112" spans="1:23" x14ac:dyDescent="0.3">
      <c r="A112" s="8" t="s">
        <v>685</v>
      </c>
      <c r="B112">
        <v>53</v>
      </c>
      <c r="C112" t="s">
        <v>2</v>
      </c>
      <c r="D112" t="s">
        <v>294</v>
      </c>
      <c r="E112" s="8" t="s">
        <v>220</v>
      </c>
      <c r="F112" s="53">
        <v>46046</v>
      </c>
      <c r="G112" t="s">
        <v>184</v>
      </c>
      <c r="H112" s="8" t="s">
        <v>347</v>
      </c>
      <c r="I112">
        <v>1</v>
      </c>
      <c r="J112">
        <v>0</v>
      </c>
      <c r="K112">
        <v>0</v>
      </c>
      <c r="L112">
        <v>0</v>
      </c>
      <c r="M112">
        <v>0</v>
      </c>
      <c r="N112">
        <v>0</v>
      </c>
      <c r="O112">
        <v>0</v>
      </c>
      <c r="P112">
        <v>0</v>
      </c>
      <c r="Q112">
        <v>0</v>
      </c>
      <c r="R112">
        <v>0</v>
      </c>
      <c r="S112">
        <v>0</v>
      </c>
      <c r="T112">
        <v>0</v>
      </c>
      <c r="U112">
        <v>0</v>
      </c>
      <c r="V112">
        <v>0</v>
      </c>
      <c r="W112">
        <v>0</v>
      </c>
    </row>
    <row r="113" spans="1:23" x14ac:dyDescent="0.3">
      <c r="A113" s="8" t="s">
        <v>686</v>
      </c>
      <c r="B113">
        <v>54</v>
      </c>
      <c r="C113" t="s">
        <v>2</v>
      </c>
      <c r="D113" t="s">
        <v>294</v>
      </c>
      <c r="E113" s="8" t="s">
        <v>220</v>
      </c>
      <c r="F113" s="53">
        <v>46041</v>
      </c>
      <c r="G113" t="s">
        <v>184</v>
      </c>
      <c r="H113" s="8" t="s">
        <v>348</v>
      </c>
      <c r="I113">
        <v>1</v>
      </c>
      <c r="J113">
        <v>0</v>
      </c>
      <c r="K113">
        <v>0</v>
      </c>
      <c r="L113">
        <v>0</v>
      </c>
      <c r="M113">
        <v>0</v>
      </c>
      <c r="N113">
        <v>0</v>
      </c>
      <c r="O113">
        <v>0</v>
      </c>
      <c r="P113">
        <v>0</v>
      </c>
      <c r="Q113">
        <v>0</v>
      </c>
      <c r="R113">
        <v>0</v>
      </c>
      <c r="S113">
        <v>0</v>
      </c>
      <c r="T113">
        <v>0</v>
      </c>
      <c r="U113">
        <v>0</v>
      </c>
      <c r="V113">
        <v>0</v>
      </c>
      <c r="W113">
        <v>0</v>
      </c>
    </row>
    <row r="114" spans="1:23" x14ac:dyDescent="0.3">
      <c r="A114" s="8" t="s">
        <v>687</v>
      </c>
      <c r="B114">
        <v>55</v>
      </c>
      <c r="C114" t="s">
        <v>2</v>
      </c>
      <c r="D114" t="s">
        <v>294</v>
      </c>
      <c r="E114" s="8" t="s">
        <v>220</v>
      </c>
      <c r="F114" s="53">
        <v>46035</v>
      </c>
      <c r="G114" t="s">
        <v>184</v>
      </c>
      <c r="H114" s="8" t="s">
        <v>349</v>
      </c>
      <c r="I114">
        <v>1</v>
      </c>
      <c r="J114">
        <v>0</v>
      </c>
      <c r="K114">
        <v>0</v>
      </c>
      <c r="L114">
        <v>1</v>
      </c>
      <c r="M114">
        <v>0</v>
      </c>
      <c r="N114">
        <v>0</v>
      </c>
      <c r="O114">
        <v>0</v>
      </c>
      <c r="P114">
        <v>0</v>
      </c>
      <c r="Q114">
        <v>0</v>
      </c>
      <c r="R114">
        <v>0</v>
      </c>
      <c r="S114">
        <v>0</v>
      </c>
      <c r="T114">
        <v>1</v>
      </c>
      <c r="U114">
        <v>0</v>
      </c>
      <c r="V114">
        <v>0</v>
      </c>
      <c r="W114">
        <v>0</v>
      </c>
    </row>
    <row r="115" spans="1:23" x14ac:dyDescent="0.3">
      <c r="A115" s="8" t="s">
        <v>688</v>
      </c>
      <c r="B115">
        <v>56</v>
      </c>
      <c r="C115" t="s">
        <v>2</v>
      </c>
      <c r="D115" t="s">
        <v>294</v>
      </c>
      <c r="E115" s="8" t="s">
        <v>220</v>
      </c>
      <c r="F115" s="53">
        <v>46031</v>
      </c>
      <c r="G115" t="s">
        <v>184</v>
      </c>
      <c r="H115" s="8" t="s">
        <v>350</v>
      </c>
      <c r="I115">
        <v>1</v>
      </c>
      <c r="J115">
        <v>0</v>
      </c>
      <c r="K115">
        <v>0</v>
      </c>
      <c r="L115">
        <v>0</v>
      </c>
      <c r="M115">
        <v>0</v>
      </c>
      <c r="N115">
        <v>0</v>
      </c>
      <c r="O115">
        <v>0</v>
      </c>
      <c r="P115">
        <v>0</v>
      </c>
      <c r="Q115">
        <v>0</v>
      </c>
      <c r="R115">
        <v>0</v>
      </c>
      <c r="S115">
        <v>1</v>
      </c>
      <c r="T115">
        <v>0</v>
      </c>
      <c r="U115">
        <v>0</v>
      </c>
      <c r="V115">
        <v>0</v>
      </c>
      <c r="W115">
        <v>0</v>
      </c>
    </row>
    <row r="116" spans="1:23" x14ac:dyDescent="0.3">
      <c r="A116" s="8" t="s">
        <v>465</v>
      </c>
      <c r="B116">
        <v>57</v>
      </c>
      <c r="C116" t="s">
        <v>2</v>
      </c>
      <c r="D116" t="s">
        <v>294</v>
      </c>
      <c r="E116" s="8" t="s">
        <v>220</v>
      </c>
      <c r="F116" s="53">
        <v>46013</v>
      </c>
      <c r="G116" t="s">
        <v>225</v>
      </c>
      <c r="H116" s="8" t="s">
        <v>351</v>
      </c>
      <c r="I116">
        <v>1</v>
      </c>
      <c r="J116">
        <v>0</v>
      </c>
      <c r="K116">
        <v>0</v>
      </c>
      <c r="L116">
        <v>0</v>
      </c>
      <c r="M116">
        <v>0</v>
      </c>
      <c r="N116">
        <v>0</v>
      </c>
      <c r="O116">
        <v>0</v>
      </c>
      <c r="P116">
        <v>0</v>
      </c>
      <c r="Q116">
        <v>0</v>
      </c>
      <c r="R116">
        <v>0</v>
      </c>
      <c r="S116">
        <v>0</v>
      </c>
      <c r="T116">
        <v>0</v>
      </c>
      <c r="U116">
        <v>0</v>
      </c>
      <c r="V116">
        <v>0</v>
      </c>
      <c r="W116">
        <v>0</v>
      </c>
    </row>
    <row r="117" spans="1:23" x14ac:dyDescent="0.3">
      <c r="A117" s="8" t="s">
        <v>466</v>
      </c>
      <c r="B117">
        <v>58</v>
      </c>
      <c r="C117" t="s">
        <v>2</v>
      </c>
      <c r="D117" t="s">
        <v>294</v>
      </c>
      <c r="E117" s="8" t="s">
        <v>220</v>
      </c>
      <c r="F117" s="53">
        <v>46006</v>
      </c>
      <c r="G117" t="s">
        <v>225</v>
      </c>
      <c r="H117" s="8" t="s">
        <v>352</v>
      </c>
      <c r="I117">
        <v>1</v>
      </c>
      <c r="J117">
        <v>0</v>
      </c>
      <c r="K117">
        <v>0</v>
      </c>
      <c r="L117">
        <v>0</v>
      </c>
      <c r="M117">
        <v>0</v>
      </c>
      <c r="N117">
        <v>0</v>
      </c>
      <c r="O117">
        <v>0</v>
      </c>
      <c r="P117">
        <v>0</v>
      </c>
      <c r="Q117">
        <v>0</v>
      </c>
      <c r="R117">
        <v>0</v>
      </c>
      <c r="S117">
        <v>0</v>
      </c>
      <c r="T117">
        <v>0</v>
      </c>
      <c r="U117">
        <v>0</v>
      </c>
      <c r="V117">
        <v>0</v>
      </c>
      <c r="W117">
        <v>0</v>
      </c>
    </row>
    <row r="118" spans="1:23" x14ac:dyDescent="0.3">
      <c r="A118" s="8" t="s">
        <v>467</v>
      </c>
      <c r="B118">
        <v>59</v>
      </c>
      <c r="C118" t="s">
        <v>2</v>
      </c>
      <c r="D118" t="s">
        <v>294</v>
      </c>
      <c r="E118" s="8" t="s">
        <v>220</v>
      </c>
      <c r="F118" s="53">
        <v>46004</v>
      </c>
      <c r="G118" t="s">
        <v>225</v>
      </c>
      <c r="H118" s="8" t="s">
        <v>353</v>
      </c>
      <c r="I118">
        <v>1</v>
      </c>
      <c r="J118">
        <v>0</v>
      </c>
      <c r="K118">
        <v>0</v>
      </c>
      <c r="L118">
        <v>0</v>
      </c>
      <c r="M118">
        <v>0</v>
      </c>
      <c r="N118">
        <v>0</v>
      </c>
      <c r="O118">
        <v>0</v>
      </c>
      <c r="P118">
        <v>0</v>
      </c>
      <c r="Q118">
        <v>0</v>
      </c>
      <c r="R118">
        <v>0</v>
      </c>
      <c r="S118">
        <v>0</v>
      </c>
      <c r="T118">
        <v>0</v>
      </c>
      <c r="U118">
        <v>0</v>
      </c>
      <c r="V118">
        <v>0</v>
      </c>
      <c r="W118">
        <v>0</v>
      </c>
    </row>
    <row r="119" spans="1:23" x14ac:dyDescent="0.3">
      <c r="A119" s="8" t="s">
        <v>468</v>
      </c>
      <c r="B119">
        <v>60</v>
      </c>
      <c r="C119" t="s">
        <v>2</v>
      </c>
      <c r="D119" t="s">
        <v>294</v>
      </c>
      <c r="E119" s="8" t="s">
        <v>220</v>
      </c>
      <c r="F119" s="53">
        <v>46002</v>
      </c>
      <c r="G119" t="s">
        <v>225</v>
      </c>
      <c r="H119" s="8" t="s">
        <v>354</v>
      </c>
      <c r="I119">
        <v>0</v>
      </c>
      <c r="J119">
        <v>1</v>
      </c>
      <c r="K119">
        <v>0</v>
      </c>
      <c r="L119">
        <v>1</v>
      </c>
      <c r="M119">
        <v>0</v>
      </c>
      <c r="N119">
        <v>0</v>
      </c>
      <c r="O119">
        <v>0</v>
      </c>
      <c r="P119">
        <v>0</v>
      </c>
      <c r="Q119">
        <v>0</v>
      </c>
      <c r="R119">
        <v>0</v>
      </c>
      <c r="S119">
        <v>0</v>
      </c>
      <c r="T119">
        <v>0</v>
      </c>
      <c r="U119">
        <v>1</v>
      </c>
      <c r="V119">
        <v>0</v>
      </c>
      <c r="W119">
        <v>0</v>
      </c>
    </row>
    <row r="120" spans="1:23" x14ac:dyDescent="0.3">
      <c r="A120" s="8" t="s">
        <v>469</v>
      </c>
      <c r="B120">
        <v>61</v>
      </c>
      <c r="C120" t="s">
        <v>2</v>
      </c>
      <c r="D120" t="s">
        <v>294</v>
      </c>
      <c r="E120" s="8" t="s">
        <v>220</v>
      </c>
      <c r="F120" s="53">
        <v>45999</v>
      </c>
      <c r="G120" t="s">
        <v>225</v>
      </c>
      <c r="H120" s="8" t="s">
        <v>355</v>
      </c>
      <c r="I120">
        <v>0</v>
      </c>
      <c r="J120">
        <v>1</v>
      </c>
      <c r="K120">
        <v>0</v>
      </c>
      <c r="L120">
        <v>0</v>
      </c>
      <c r="M120">
        <v>0</v>
      </c>
      <c r="N120">
        <v>1</v>
      </c>
      <c r="O120">
        <v>0</v>
      </c>
      <c r="P120">
        <v>0</v>
      </c>
      <c r="Q120">
        <v>0</v>
      </c>
      <c r="R120">
        <v>0</v>
      </c>
      <c r="S120">
        <v>0</v>
      </c>
      <c r="T120">
        <v>0</v>
      </c>
      <c r="U120">
        <v>0</v>
      </c>
      <c r="V120">
        <v>0</v>
      </c>
      <c r="W120">
        <v>0</v>
      </c>
    </row>
    <row r="121" spans="1:23" x14ac:dyDescent="0.3">
      <c r="A121" s="8" t="s">
        <v>470</v>
      </c>
      <c r="B121">
        <v>62</v>
      </c>
      <c r="C121" t="s">
        <v>2</v>
      </c>
      <c r="D121" t="s">
        <v>294</v>
      </c>
      <c r="E121" s="8" t="s">
        <v>220</v>
      </c>
      <c r="F121" s="53">
        <v>45988</v>
      </c>
      <c r="G121" t="s">
        <v>225</v>
      </c>
      <c r="H121" s="8" t="s">
        <v>356</v>
      </c>
      <c r="I121">
        <v>1</v>
      </c>
      <c r="J121">
        <v>0</v>
      </c>
      <c r="K121">
        <v>0</v>
      </c>
      <c r="L121">
        <v>0</v>
      </c>
      <c r="M121">
        <v>0</v>
      </c>
      <c r="N121">
        <v>0</v>
      </c>
      <c r="O121">
        <v>0</v>
      </c>
      <c r="P121">
        <v>0</v>
      </c>
      <c r="Q121">
        <v>0</v>
      </c>
      <c r="R121">
        <v>0</v>
      </c>
      <c r="S121">
        <v>0</v>
      </c>
      <c r="T121">
        <v>0</v>
      </c>
      <c r="U121">
        <v>0</v>
      </c>
      <c r="V121">
        <v>0</v>
      </c>
      <c r="W121">
        <v>0</v>
      </c>
    </row>
    <row r="122" spans="1:23" x14ac:dyDescent="0.3">
      <c r="A122" s="8" t="s">
        <v>471</v>
      </c>
      <c r="B122">
        <v>63</v>
      </c>
      <c r="C122" t="s">
        <v>2</v>
      </c>
      <c r="D122" t="s">
        <v>294</v>
      </c>
      <c r="E122" s="8" t="s">
        <v>220</v>
      </c>
      <c r="F122" s="53">
        <v>45984</v>
      </c>
      <c r="G122" t="s">
        <v>225</v>
      </c>
      <c r="H122" s="8" t="s">
        <v>357</v>
      </c>
      <c r="I122">
        <v>0</v>
      </c>
      <c r="J122">
        <v>1</v>
      </c>
      <c r="K122">
        <v>0</v>
      </c>
      <c r="L122">
        <v>0</v>
      </c>
      <c r="M122">
        <v>0</v>
      </c>
      <c r="N122">
        <v>0</v>
      </c>
      <c r="O122">
        <v>0</v>
      </c>
      <c r="P122">
        <v>0</v>
      </c>
      <c r="Q122">
        <v>0</v>
      </c>
      <c r="R122">
        <v>1</v>
      </c>
      <c r="S122">
        <v>0</v>
      </c>
      <c r="T122">
        <v>0</v>
      </c>
      <c r="U122">
        <v>1</v>
      </c>
      <c r="V122">
        <v>0</v>
      </c>
      <c r="W122">
        <v>0</v>
      </c>
    </row>
    <row r="123" spans="1:23" x14ac:dyDescent="0.3">
      <c r="A123" s="8" t="s">
        <v>472</v>
      </c>
      <c r="B123">
        <v>64</v>
      </c>
      <c r="C123" t="s">
        <v>2</v>
      </c>
      <c r="D123" t="s">
        <v>294</v>
      </c>
      <c r="E123" s="8" t="s">
        <v>220</v>
      </c>
      <c r="F123" s="53">
        <v>45983</v>
      </c>
      <c r="G123" t="s">
        <v>225</v>
      </c>
      <c r="H123" s="8" t="s">
        <v>358</v>
      </c>
      <c r="I123">
        <v>1</v>
      </c>
      <c r="J123">
        <v>0</v>
      </c>
      <c r="K123">
        <v>0</v>
      </c>
      <c r="L123">
        <v>0</v>
      </c>
      <c r="M123">
        <v>0</v>
      </c>
      <c r="N123">
        <v>0</v>
      </c>
      <c r="O123">
        <v>0</v>
      </c>
      <c r="P123">
        <v>1</v>
      </c>
      <c r="Q123">
        <v>0</v>
      </c>
      <c r="R123">
        <v>0</v>
      </c>
      <c r="S123">
        <v>0</v>
      </c>
      <c r="T123">
        <v>0</v>
      </c>
      <c r="U123">
        <v>0</v>
      </c>
      <c r="V123">
        <v>0</v>
      </c>
      <c r="W123">
        <v>0</v>
      </c>
    </row>
    <row r="124" spans="1:23" x14ac:dyDescent="0.3">
      <c r="A124" s="8" t="s">
        <v>473</v>
      </c>
      <c r="B124">
        <v>65</v>
      </c>
      <c r="C124" t="s">
        <v>2</v>
      </c>
      <c r="D124" t="s">
        <v>294</v>
      </c>
      <c r="E124" s="8" t="s">
        <v>220</v>
      </c>
      <c r="F124" s="53">
        <v>45983</v>
      </c>
      <c r="G124" t="s">
        <v>225</v>
      </c>
      <c r="H124" s="8" t="s">
        <v>359</v>
      </c>
      <c r="I124">
        <v>0</v>
      </c>
      <c r="J124">
        <v>0</v>
      </c>
      <c r="K124">
        <v>0</v>
      </c>
      <c r="L124">
        <v>0</v>
      </c>
      <c r="M124">
        <v>0</v>
      </c>
      <c r="N124">
        <v>1</v>
      </c>
      <c r="O124">
        <v>0</v>
      </c>
      <c r="P124">
        <v>0</v>
      </c>
      <c r="Q124">
        <v>0</v>
      </c>
      <c r="R124">
        <v>0</v>
      </c>
      <c r="S124">
        <v>0</v>
      </c>
      <c r="T124">
        <v>1</v>
      </c>
      <c r="U124">
        <v>1</v>
      </c>
      <c r="V124">
        <v>0</v>
      </c>
      <c r="W124">
        <v>0</v>
      </c>
    </row>
    <row r="125" spans="1:23" x14ac:dyDescent="0.3">
      <c r="A125" s="8" t="s">
        <v>474</v>
      </c>
      <c r="B125">
        <v>66</v>
      </c>
      <c r="C125" t="s">
        <v>2</v>
      </c>
      <c r="D125" t="s">
        <v>294</v>
      </c>
      <c r="E125" s="8" t="s">
        <v>220</v>
      </c>
      <c r="F125" s="53">
        <v>45982</v>
      </c>
      <c r="G125" t="s">
        <v>225</v>
      </c>
      <c r="H125" s="8" t="s">
        <v>360</v>
      </c>
      <c r="I125">
        <v>1</v>
      </c>
      <c r="J125">
        <v>0</v>
      </c>
      <c r="K125">
        <v>0</v>
      </c>
      <c r="L125">
        <v>0</v>
      </c>
      <c r="M125">
        <v>0</v>
      </c>
      <c r="N125">
        <v>0</v>
      </c>
      <c r="O125">
        <v>0</v>
      </c>
      <c r="P125">
        <v>0</v>
      </c>
      <c r="Q125">
        <v>0</v>
      </c>
      <c r="R125">
        <v>0</v>
      </c>
      <c r="S125">
        <v>0</v>
      </c>
      <c r="T125">
        <v>0</v>
      </c>
      <c r="U125">
        <v>0</v>
      </c>
      <c r="V125">
        <v>0</v>
      </c>
      <c r="W125">
        <v>0</v>
      </c>
    </row>
    <row r="126" spans="1:23" x14ac:dyDescent="0.3">
      <c r="A126" s="8" t="s">
        <v>475</v>
      </c>
      <c r="B126">
        <v>67</v>
      </c>
      <c r="C126" t="s">
        <v>2</v>
      </c>
      <c r="D126" t="s">
        <v>294</v>
      </c>
      <c r="E126" s="8" t="s">
        <v>220</v>
      </c>
      <c r="F126" s="53">
        <v>45974</v>
      </c>
      <c r="G126" t="s">
        <v>225</v>
      </c>
      <c r="H126" s="8" t="s">
        <v>361</v>
      </c>
      <c r="I126">
        <v>0</v>
      </c>
      <c r="J126">
        <v>1</v>
      </c>
      <c r="K126">
        <v>0</v>
      </c>
      <c r="L126">
        <v>0</v>
      </c>
      <c r="M126">
        <v>0</v>
      </c>
      <c r="N126">
        <v>1</v>
      </c>
      <c r="O126">
        <v>0</v>
      </c>
      <c r="P126">
        <v>0</v>
      </c>
      <c r="Q126">
        <v>0</v>
      </c>
      <c r="R126">
        <v>0</v>
      </c>
      <c r="S126">
        <v>0</v>
      </c>
      <c r="T126">
        <v>1</v>
      </c>
      <c r="U126">
        <v>1</v>
      </c>
      <c r="V126">
        <v>0</v>
      </c>
      <c r="W126">
        <v>0</v>
      </c>
    </row>
    <row r="127" spans="1:23" x14ac:dyDescent="0.3">
      <c r="A127" s="8" t="s">
        <v>476</v>
      </c>
      <c r="B127">
        <v>68</v>
      </c>
      <c r="C127" t="s">
        <v>2</v>
      </c>
      <c r="D127" t="s">
        <v>294</v>
      </c>
      <c r="E127" s="8" t="s">
        <v>220</v>
      </c>
      <c r="F127" s="53">
        <v>45966</v>
      </c>
      <c r="G127" t="s">
        <v>225</v>
      </c>
      <c r="H127" s="8" t="s">
        <v>362</v>
      </c>
      <c r="I127">
        <v>0</v>
      </c>
      <c r="J127">
        <v>0</v>
      </c>
      <c r="K127">
        <v>0</v>
      </c>
      <c r="L127">
        <v>1</v>
      </c>
      <c r="M127">
        <v>0</v>
      </c>
      <c r="N127">
        <v>1</v>
      </c>
      <c r="O127">
        <v>0</v>
      </c>
      <c r="P127">
        <v>0</v>
      </c>
      <c r="Q127">
        <v>0</v>
      </c>
      <c r="R127">
        <v>0</v>
      </c>
      <c r="S127">
        <v>0</v>
      </c>
      <c r="T127">
        <v>1</v>
      </c>
      <c r="U127">
        <v>1</v>
      </c>
      <c r="V127">
        <v>0</v>
      </c>
      <c r="W127">
        <v>0</v>
      </c>
    </row>
    <row r="128" spans="1:23" x14ac:dyDescent="0.3">
      <c r="A128" s="8" t="s">
        <v>477</v>
      </c>
      <c r="B128">
        <v>69</v>
      </c>
      <c r="C128" t="s">
        <v>2</v>
      </c>
      <c r="D128" t="s">
        <v>294</v>
      </c>
      <c r="E128" s="8" t="s">
        <v>220</v>
      </c>
      <c r="F128" s="53">
        <v>45956</v>
      </c>
      <c r="G128" t="s">
        <v>225</v>
      </c>
      <c r="H128" s="8" t="s">
        <v>363</v>
      </c>
      <c r="I128">
        <v>1</v>
      </c>
      <c r="J128">
        <v>0</v>
      </c>
      <c r="K128">
        <v>0</v>
      </c>
      <c r="L128">
        <v>0</v>
      </c>
      <c r="M128">
        <v>0</v>
      </c>
      <c r="N128">
        <v>0</v>
      </c>
      <c r="O128">
        <v>0</v>
      </c>
      <c r="P128">
        <v>0</v>
      </c>
      <c r="Q128">
        <v>0</v>
      </c>
      <c r="R128">
        <v>0</v>
      </c>
      <c r="S128">
        <v>0</v>
      </c>
      <c r="T128">
        <v>0</v>
      </c>
      <c r="U128">
        <v>0</v>
      </c>
      <c r="V128">
        <v>0</v>
      </c>
      <c r="W128">
        <v>0</v>
      </c>
    </row>
    <row r="129" spans="1:23" x14ac:dyDescent="0.3">
      <c r="A129" s="8" t="s">
        <v>478</v>
      </c>
      <c r="B129">
        <v>70</v>
      </c>
      <c r="C129" t="s">
        <v>2</v>
      </c>
      <c r="D129" t="s">
        <v>294</v>
      </c>
      <c r="E129" s="8" t="s">
        <v>220</v>
      </c>
      <c r="F129" s="53">
        <v>45954</v>
      </c>
      <c r="G129" t="s">
        <v>225</v>
      </c>
      <c r="H129" s="8" t="s">
        <v>364</v>
      </c>
      <c r="I129">
        <v>1</v>
      </c>
      <c r="J129">
        <v>0</v>
      </c>
      <c r="K129">
        <v>0</v>
      </c>
      <c r="L129">
        <v>0</v>
      </c>
      <c r="M129">
        <v>0</v>
      </c>
      <c r="N129">
        <v>0</v>
      </c>
      <c r="O129">
        <v>0</v>
      </c>
      <c r="P129">
        <v>0</v>
      </c>
      <c r="Q129">
        <v>0</v>
      </c>
      <c r="R129">
        <v>0</v>
      </c>
      <c r="S129">
        <v>0</v>
      </c>
      <c r="T129">
        <v>0</v>
      </c>
      <c r="U129">
        <v>0</v>
      </c>
      <c r="V129">
        <v>0</v>
      </c>
      <c r="W129">
        <v>0</v>
      </c>
    </row>
    <row r="130" spans="1:23" x14ac:dyDescent="0.3">
      <c r="A130" s="8" t="s">
        <v>479</v>
      </c>
      <c r="B130">
        <v>71</v>
      </c>
      <c r="C130" t="s">
        <v>2</v>
      </c>
      <c r="D130" t="s">
        <v>294</v>
      </c>
      <c r="E130" s="8" t="s">
        <v>220</v>
      </c>
      <c r="F130" s="53">
        <v>45933</v>
      </c>
      <c r="G130" t="s">
        <v>225</v>
      </c>
      <c r="H130" s="8" t="s">
        <v>365</v>
      </c>
      <c r="I130">
        <v>0</v>
      </c>
      <c r="J130">
        <v>1</v>
      </c>
      <c r="K130">
        <v>0</v>
      </c>
      <c r="L130">
        <v>0</v>
      </c>
      <c r="M130">
        <v>0</v>
      </c>
      <c r="N130">
        <v>0</v>
      </c>
      <c r="O130">
        <v>0</v>
      </c>
      <c r="P130">
        <v>0</v>
      </c>
      <c r="Q130">
        <v>0</v>
      </c>
      <c r="R130">
        <v>1</v>
      </c>
      <c r="S130">
        <v>0</v>
      </c>
      <c r="T130">
        <v>0</v>
      </c>
      <c r="U130">
        <v>1</v>
      </c>
      <c r="V130">
        <v>0</v>
      </c>
      <c r="W130">
        <v>0</v>
      </c>
    </row>
    <row r="131" spans="1:23" x14ac:dyDescent="0.3">
      <c r="A131" s="8" t="s">
        <v>480</v>
      </c>
      <c r="B131">
        <v>72</v>
      </c>
      <c r="C131" t="s">
        <v>2</v>
      </c>
      <c r="D131" t="s">
        <v>294</v>
      </c>
      <c r="E131" s="8" t="s">
        <v>220</v>
      </c>
      <c r="F131" s="53">
        <v>45808</v>
      </c>
      <c r="G131" t="s">
        <v>192</v>
      </c>
      <c r="H131" s="8" t="s">
        <v>366</v>
      </c>
      <c r="I131">
        <v>1</v>
      </c>
      <c r="J131">
        <v>0</v>
      </c>
      <c r="K131">
        <v>0</v>
      </c>
      <c r="L131">
        <v>0</v>
      </c>
      <c r="M131">
        <v>0</v>
      </c>
      <c r="N131">
        <v>0</v>
      </c>
      <c r="O131">
        <v>0</v>
      </c>
      <c r="P131">
        <v>0</v>
      </c>
      <c r="Q131">
        <v>0</v>
      </c>
      <c r="R131">
        <v>0</v>
      </c>
      <c r="S131">
        <v>0</v>
      </c>
      <c r="T131">
        <v>0</v>
      </c>
      <c r="U131">
        <v>0</v>
      </c>
      <c r="V131">
        <v>0</v>
      </c>
      <c r="W131">
        <v>0</v>
      </c>
    </row>
    <row r="132" spans="1:23" x14ac:dyDescent="0.3">
      <c r="A132" s="8" t="s">
        <v>481</v>
      </c>
      <c r="B132">
        <v>73</v>
      </c>
      <c r="C132" t="s">
        <v>2</v>
      </c>
      <c r="D132" t="s">
        <v>294</v>
      </c>
      <c r="E132" s="8" t="s">
        <v>220</v>
      </c>
      <c r="F132" s="53">
        <v>45808</v>
      </c>
      <c r="G132" t="s">
        <v>192</v>
      </c>
      <c r="H132" s="8" t="s">
        <v>367</v>
      </c>
      <c r="I132">
        <v>0</v>
      </c>
      <c r="J132">
        <v>1</v>
      </c>
      <c r="K132">
        <v>0</v>
      </c>
      <c r="L132">
        <v>0</v>
      </c>
      <c r="M132">
        <v>0</v>
      </c>
      <c r="N132">
        <v>1</v>
      </c>
      <c r="O132">
        <v>0</v>
      </c>
      <c r="P132">
        <v>0</v>
      </c>
      <c r="Q132">
        <v>0</v>
      </c>
      <c r="R132">
        <v>0</v>
      </c>
      <c r="S132">
        <v>0</v>
      </c>
      <c r="T132">
        <v>0</v>
      </c>
      <c r="U132">
        <v>1</v>
      </c>
      <c r="V132">
        <v>0</v>
      </c>
      <c r="W132">
        <v>0</v>
      </c>
    </row>
    <row r="133" spans="1:23" x14ac:dyDescent="0.3">
      <c r="A133" s="8" t="s">
        <v>482</v>
      </c>
      <c r="B133">
        <v>74</v>
      </c>
      <c r="C133" t="s">
        <v>2</v>
      </c>
      <c r="D133" t="s">
        <v>294</v>
      </c>
      <c r="E133" s="8" t="s">
        <v>220</v>
      </c>
      <c r="F133" s="53">
        <v>45780</v>
      </c>
      <c r="G133" t="s">
        <v>192</v>
      </c>
      <c r="H133" s="8" t="s">
        <v>368</v>
      </c>
      <c r="I133">
        <v>0</v>
      </c>
      <c r="J133">
        <v>1</v>
      </c>
      <c r="K133">
        <v>0</v>
      </c>
      <c r="L133">
        <v>0</v>
      </c>
      <c r="M133">
        <v>0</v>
      </c>
      <c r="N133">
        <v>1</v>
      </c>
      <c r="O133">
        <v>0</v>
      </c>
      <c r="P133">
        <v>0</v>
      </c>
      <c r="Q133">
        <v>0</v>
      </c>
      <c r="R133">
        <v>0</v>
      </c>
      <c r="S133">
        <v>0</v>
      </c>
      <c r="T133">
        <v>1</v>
      </c>
      <c r="U133">
        <v>1</v>
      </c>
      <c r="V133">
        <v>0</v>
      </c>
      <c r="W133">
        <v>0</v>
      </c>
    </row>
    <row r="134" spans="1:23" x14ac:dyDescent="0.3">
      <c r="A134" s="8" t="s">
        <v>483</v>
      </c>
      <c r="B134">
        <v>75</v>
      </c>
      <c r="C134" t="s">
        <v>2</v>
      </c>
      <c r="D134" t="s">
        <v>294</v>
      </c>
      <c r="E134" s="8" t="s">
        <v>220</v>
      </c>
      <c r="F134" s="53">
        <v>45774</v>
      </c>
      <c r="G134" t="s">
        <v>192</v>
      </c>
      <c r="H134" s="8" t="s">
        <v>369</v>
      </c>
      <c r="I134">
        <v>0</v>
      </c>
      <c r="J134">
        <v>1</v>
      </c>
      <c r="K134">
        <v>0</v>
      </c>
      <c r="L134">
        <v>1</v>
      </c>
      <c r="M134">
        <v>0</v>
      </c>
      <c r="N134">
        <v>0</v>
      </c>
      <c r="O134">
        <v>0</v>
      </c>
      <c r="P134">
        <v>0</v>
      </c>
      <c r="Q134">
        <v>0</v>
      </c>
      <c r="R134">
        <v>0</v>
      </c>
      <c r="S134">
        <v>0</v>
      </c>
      <c r="T134">
        <v>0</v>
      </c>
      <c r="U134">
        <v>1</v>
      </c>
      <c r="V134">
        <v>0</v>
      </c>
      <c r="W134">
        <v>0</v>
      </c>
    </row>
    <row r="135" spans="1:23" x14ac:dyDescent="0.3">
      <c r="A135" s="8" t="s">
        <v>484</v>
      </c>
      <c r="B135">
        <v>76</v>
      </c>
      <c r="C135" t="s">
        <v>2</v>
      </c>
      <c r="D135" t="s">
        <v>294</v>
      </c>
      <c r="E135" s="8" t="s">
        <v>220</v>
      </c>
      <c r="F135" s="53">
        <v>45769</v>
      </c>
      <c r="G135" t="s">
        <v>192</v>
      </c>
      <c r="H135" s="8" t="s">
        <v>356</v>
      </c>
      <c r="I135">
        <v>1</v>
      </c>
      <c r="J135">
        <v>0</v>
      </c>
      <c r="K135">
        <v>0</v>
      </c>
      <c r="L135">
        <v>0</v>
      </c>
      <c r="M135">
        <v>0</v>
      </c>
      <c r="N135">
        <v>0</v>
      </c>
      <c r="O135">
        <v>0</v>
      </c>
      <c r="P135">
        <v>0</v>
      </c>
      <c r="Q135">
        <v>0</v>
      </c>
      <c r="R135">
        <v>0</v>
      </c>
      <c r="S135">
        <v>0</v>
      </c>
      <c r="T135">
        <v>0</v>
      </c>
      <c r="U135">
        <v>0</v>
      </c>
      <c r="V135">
        <v>0</v>
      </c>
      <c r="W135">
        <v>0</v>
      </c>
    </row>
    <row r="136" spans="1:23" x14ac:dyDescent="0.3">
      <c r="A136" s="8" t="s">
        <v>485</v>
      </c>
      <c r="B136">
        <v>77</v>
      </c>
      <c r="C136" t="s">
        <v>2</v>
      </c>
      <c r="D136" t="s">
        <v>294</v>
      </c>
      <c r="E136" s="8" t="s">
        <v>220</v>
      </c>
      <c r="F136" s="53">
        <v>45749</v>
      </c>
      <c r="G136" t="s">
        <v>192</v>
      </c>
      <c r="H136" s="8" t="s">
        <v>370</v>
      </c>
      <c r="I136">
        <v>1</v>
      </c>
      <c r="J136">
        <v>0</v>
      </c>
      <c r="K136">
        <v>0</v>
      </c>
      <c r="L136">
        <v>0</v>
      </c>
      <c r="M136">
        <v>0</v>
      </c>
      <c r="N136">
        <v>0</v>
      </c>
      <c r="O136">
        <v>0</v>
      </c>
      <c r="P136">
        <v>0</v>
      </c>
      <c r="Q136">
        <v>0</v>
      </c>
      <c r="R136">
        <v>0</v>
      </c>
      <c r="S136">
        <v>1</v>
      </c>
      <c r="T136">
        <v>0</v>
      </c>
      <c r="U136">
        <v>0</v>
      </c>
      <c r="V136">
        <v>0</v>
      </c>
      <c r="W136">
        <v>0</v>
      </c>
    </row>
    <row r="137" spans="1:23" x14ac:dyDescent="0.3">
      <c r="A137" s="8" t="s">
        <v>486</v>
      </c>
      <c r="B137">
        <v>78</v>
      </c>
      <c r="C137" t="s">
        <v>2</v>
      </c>
      <c r="D137" t="s">
        <v>294</v>
      </c>
      <c r="E137" s="8" t="s">
        <v>220</v>
      </c>
      <c r="F137" s="53">
        <v>45595</v>
      </c>
      <c r="G137" t="s">
        <v>197</v>
      </c>
      <c r="H137" s="8" t="s">
        <v>371</v>
      </c>
      <c r="I137">
        <v>1</v>
      </c>
      <c r="J137">
        <v>0</v>
      </c>
      <c r="K137">
        <v>0</v>
      </c>
      <c r="L137">
        <v>0</v>
      </c>
      <c r="M137">
        <v>0</v>
      </c>
      <c r="N137">
        <v>0</v>
      </c>
      <c r="O137">
        <v>0</v>
      </c>
      <c r="P137">
        <v>0</v>
      </c>
      <c r="Q137">
        <v>0</v>
      </c>
      <c r="R137">
        <v>0</v>
      </c>
      <c r="S137">
        <v>0</v>
      </c>
      <c r="T137">
        <v>0</v>
      </c>
      <c r="U137">
        <v>0</v>
      </c>
      <c r="V137">
        <v>0</v>
      </c>
      <c r="W137">
        <v>0</v>
      </c>
    </row>
    <row r="138" spans="1:23" x14ac:dyDescent="0.3">
      <c r="A138" s="8" t="s">
        <v>487</v>
      </c>
      <c r="B138">
        <v>79</v>
      </c>
      <c r="C138" t="s">
        <v>2</v>
      </c>
      <c r="D138" t="s">
        <v>294</v>
      </c>
      <c r="E138" s="8" t="s">
        <v>220</v>
      </c>
      <c r="F138" s="53">
        <v>45522</v>
      </c>
      <c r="G138" t="s">
        <v>200</v>
      </c>
      <c r="H138" s="8" t="s">
        <v>372</v>
      </c>
      <c r="I138">
        <v>0</v>
      </c>
      <c r="J138">
        <v>1</v>
      </c>
      <c r="K138">
        <v>0</v>
      </c>
      <c r="L138">
        <v>0</v>
      </c>
      <c r="M138">
        <v>0</v>
      </c>
      <c r="N138">
        <v>1</v>
      </c>
      <c r="O138">
        <v>0</v>
      </c>
      <c r="P138">
        <v>0</v>
      </c>
      <c r="Q138">
        <v>0</v>
      </c>
      <c r="R138">
        <v>0</v>
      </c>
      <c r="S138">
        <v>0</v>
      </c>
      <c r="T138">
        <v>1</v>
      </c>
      <c r="U138">
        <v>1</v>
      </c>
      <c r="V138">
        <v>0</v>
      </c>
      <c r="W138">
        <v>0</v>
      </c>
    </row>
    <row r="139" spans="1:23" x14ac:dyDescent="0.3">
      <c r="A139" s="8" t="s">
        <v>488</v>
      </c>
      <c r="B139">
        <v>80</v>
      </c>
      <c r="C139" t="s">
        <v>2</v>
      </c>
      <c r="D139" t="s">
        <v>294</v>
      </c>
      <c r="E139" s="8" t="s">
        <v>220</v>
      </c>
      <c r="F139" s="53">
        <v>45506</v>
      </c>
      <c r="G139" t="s">
        <v>200</v>
      </c>
      <c r="H139" s="8" t="s">
        <v>373</v>
      </c>
      <c r="I139">
        <v>0</v>
      </c>
      <c r="J139">
        <v>1</v>
      </c>
      <c r="K139">
        <v>0</v>
      </c>
      <c r="L139">
        <v>1</v>
      </c>
      <c r="M139">
        <v>0</v>
      </c>
      <c r="N139">
        <v>0</v>
      </c>
      <c r="O139">
        <v>0</v>
      </c>
      <c r="P139">
        <v>0</v>
      </c>
      <c r="Q139">
        <v>0</v>
      </c>
      <c r="R139">
        <v>0</v>
      </c>
      <c r="S139">
        <v>0</v>
      </c>
      <c r="T139">
        <v>0</v>
      </c>
      <c r="U139">
        <v>1</v>
      </c>
      <c r="V139">
        <v>0</v>
      </c>
      <c r="W139">
        <v>0</v>
      </c>
    </row>
    <row r="140" spans="1:23" x14ac:dyDescent="0.3">
      <c r="A140" s="8" t="s">
        <v>489</v>
      </c>
      <c r="B140">
        <v>81</v>
      </c>
      <c r="C140" t="s">
        <v>2</v>
      </c>
      <c r="D140" t="s">
        <v>294</v>
      </c>
      <c r="E140" s="8" t="s">
        <v>220</v>
      </c>
      <c r="F140" s="53">
        <v>45468</v>
      </c>
      <c r="G140" t="s">
        <v>264</v>
      </c>
      <c r="H140" s="8" t="s">
        <v>374</v>
      </c>
      <c r="I140">
        <v>1</v>
      </c>
      <c r="J140">
        <v>0</v>
      </c>
      <c r="K140">
        <v>0</v>
      </c>
      <c r="L140">
        <v>0</v>
      </c>
      <c r="M140">
        <v>0</v>
      </c>
      <c r="N140">
        <v>1</v>
      </c>
      <c r="O140">
        <v>0</v>
      </c>
      <c r="P140">
        <v>0</v>
      </c>
      <c r="Q140">
        <v>0</v>
      </c>
      <c r="R140">
        <v>0</v>
      </c>
      <c r="S140">
        <v>1</v>
      </c>
      <c r="T140">
        <v>0</v>
      </c>
      <c r="U140">
        <v>0</v>
      </c>
      <c r="V140">
        <v>0</v>
      </c>
      <c r="W140">
        <v>0</v>
      </c>
    </row>
    <row r="141" spans="1:23" x14ac:dyDescent="0.3">
      <c r="A141" s="8" t="s">
        <v>490</v>
      </c>
      <c r="B141">
        <v>82</v>
      </c>
      <c r="C141" t="s">
        <v>2</v>
      </c>
      <c r="D141" t="s">
        <v>294</v>
      </c>
      <c r="E141" s="8" t="s">
        <v>220</v>
      </c>
      <c r="F141" s="53">
        <v>45294</v>
      </c>
      <c r="G141" t="s">
        <v>203</v>
      </c>
      <c r="H141" s="8" t="s">
        <v>375</v>
      </c>
      <c r="I141">
        <v>0</v>
      </c>
      <c r="J141">
        <v>1</v>
      </c>
      <c r="K141">
        <v>0</v>
      </c>
      <c r="L141">
        <v>0</v>
      </c>
      <c r="M141">
        <v>0</v>
      </c>
      <c r="N141">
        <v>0</v>
      </c>
      <c r="O141">
        <v>0</v>
      </c>
      <c r="P141">
        <v>0</v>
      </c>
      <c r="Q141">
        <v>0</v>
      </c>
      <c r="R141">
        <v>0</v>
      </c>
      <c r="S141">
        <v>0</v>
      </c>
      <c r="T141">
        <v>0</v>
      </c>
      <c r="U141">
        <v>1</v>
      </c>
      <c r="V141">
        <v>0</v>
      </c>
      <c r="W141">
        <v>0</v>
      </c>
    </row>
    <row r="142" spans="1:23" x14ac:dyDescent="0.3">
      <c r="A142" s="8" t="s">
        <v>491</v>
      </c>
      <c r="B142">
        <v>83</v>
      </c>
      <c r="C142" t="s">
        <v>2</v>
      </c>
      <c r="D142" t="s">
        <v>294</v>
      </c>
      <c r="E142" s="8" t="s">
        <v>220</v>
      </c>
      <c r="F142" s="53">
        <v>45272</v>
      </c>
      <c r="G142" t="s">
        <v>207</v>
      </c>
      <c r="H142" s="8" t="s">
        <v>356</v>
      </c>
      <c r="I142">
        <v>1</v>
      </c>
      <c r="J142">
        <v>0</v>
      </c>
      <c r="K142">
        <v>0</v>
      </c>
      <c r="L142">
        <v>0</v>
      </c>
      <c r="M142">
        <v>0</v>
      </c>
      <c r="N142">
        <v>0</v>
      </c>
      <c r="O142">
        <v>0</v>
      </c>
      <c r="P142">
        <v>0</v>
      </c>
      <c r="Q142">
        <v>0</v>
      </c>
      <c r="R142">
        <v>0</v>
      </c>
      <c r="S142">
        <v>0</v>
      </c>
      <c r="T142">
        <v>0</v>
      </c>
      <c r="U142">
        <v>0</v>
      </c>
      <c r="V142">
        <v>0</v>
      </c>
      <c r="W142">
        <v>0</v>
      </c>
    </row>
    <row r="143" spans="1:23" x14ac:dyDescent="0.3">
      <c r="A143" s="8" t="s">
        <v>492</v>
      </c>
      <c r="B143">
        <v>84</v>
      </c>
      <c r="C143" t="s">
        <v>2</v>
      </c>
      <c r="D143" t="s">
        <v>294</v>
      </c>
      <c r="E143" s="8" t="s">
        <v>220</v>
      </c>
      <c r="F143" s="53">
        <v>45267</v>
      </c>
      <c r="G143" t="s">
        <v>207</v>
      </c>
      <c r="H143" s="8" t="s">
        <v>376</v>
      </c>
      <c r="I143">
        <v>1</v>
      </c>
      <c r="J143">
        <v>0</v>
      </c>
      <c r="K143">
        <v>0</v>
      </c>
      <c r="L143">
        <v>0</v>
      </c>
      <c r="M143">
        <v>0</v>
      </c>
      <c r="N143">
        <v>0</v>
      </c>
      <c r="O143">
        <v>0</v>
      </c>
      <c r="P143">
        <v>0</v>
      </c>
      <c r="Q143">
        <v>0</v>
      </c>
      <c r="R143">
        <v>1</v>
      </c>
      <c r="S143">
        <v>0</v>
      </c>
      <c r="T143">
        <v>0</v>
      </c>
      <c r="U143">
        <v>0</v>
      </c>
      <c r="V143">
        <v>0</v>
      </c>
      <c r="W143">
        <v>0</v>
      </c>
    </row>
    <row r="144" spans="1:23" x14ac:dyDescent="0.3">
      <c r="A144" s="8" t="s">
        <v>493</v>
      </c>
      <c r="B144">
        <v>85</v>
      </c>
      <c r="C144" t="s">
        <v>2</v>
      </c>
      <c r="D144" t="s">
        <v>294</v>
      </c>
      <c r="E144" s="8" t="s">
        <v>220</v>
      </c>
      <c r="F144" s="53">
        <v>45057</v>
      </c>
      <c r="G144" t="s">
        <v>281</v>
      </c>
      <c r="H144" s="8" t="s">
        <v>377</v>
      </c>
      <c r="I144">
        <v>0</v>
      </c>
      <c r="J144">
        <v>1</v>
      </c>
      <c r="K144">
        <v>0</v>
      </c>
      <c r="L144">
        <v>0</v>
      </c>
      <c r="M144">
        <v>0</v>
      </c>
      <c r="N144">
        <v>1</v>
      </c>
      <c r="O144">
        <v>0</v>
      </c>
      <c r="P144">
        <v>0</v>
      </c>
      <c r="Q144">
        <v>0</v>
      </c>
      <c r="R144">
        <v>0</v>
      </c>
      <c r="S144">
        <v>0</v>
      </c>
      <c r="T144">
        <v>1</v>
      </c>
      <c r="U144">
        <v>1</v>
      </c>
      <c r="V144">
        <v>0</v>
      </c>
      <c r="W144">
        <v>0</v>
      </c>
    </row>
    <row r="145" spans="1:24" x14ac:dyDescent="0.3">
      <c r="A145" s="8" t="s">
        <v>494</v>
      </c>
      <c r="B145">
        <v>86</v>
      </c>
      <c r="C145" t="s">
        <v>2</v>
      </c>
      <c r="D145" t="s">
        <v>294</v>
      </c>
      <c r="E145" s="8" t="s">
        <v>220</v>
      </c>
      <c r="F145" s="53">
        <v>44996</v>
      </c>
      <c r="G145" t="s">
        <v>216</v>
      </c>
      <c r="H145" s="8" t="s">
        <v>378</v>
      </c>
      <c r="I145">
        <v>0</v>
      </c>
      <c r="J145">
        <v>1</v>
      </c>
      <c r="K145">
        <v>0</v>
      </c>
      <c r="L145">
        <v>1</v>
      </c>
      <c r="M145">
        <v>0</v>
      </c>
      <c r="N145">
        <v>0</v>
      </c>
      <c r="O145">
        <v>0</v>
      </c>
      <c r="P145">
        <v>0</v>
      </c>
      <c r="Q145">
        <v>0</v>
      </c>
      <c r="R145">
        <v>0</v>
      </c>
      <c r="S145">
        <v>0</v>
      </c>
      <c r="T145">
        <v>0</v>
      </c>
      <c r="U145">
        <v>1</v>
      </c>
      <c r="V145">
        <v>0</v>
      </c>
      <c r="W145">
        <v>0</v>
      </c>
    </row>
    <row r="146" spans="1:24" ht="72" x14ac:dyDescent="0.3">
      <c r="A146" s="8" t="s">
        <v>689</v>
      </c>
      <c r="B146" s="54">
        <v>97855</v>
      </c>
      <c r="C146" t="s">
        <v>2</v>
      </c>
      <c r="D146" t="s">
        <v>294</v>
      </c>
      <c r="E146" s="8" t="s">
        <v>379</v>
      </c>
      <c r="F146" s="53">
        <v>45859</v>
      </c>
      <c r="G146" t="s">
        <v>187</v>
      </c>
      <c r="H146" s="8" t="s">
        <v>709</v>
      </c>
      <c r="I146">
        <v>0</v>
      </c>
      <c r="J146">
        <v>1</v>
      </c>
      <c r="K146">
        <v>0</v>
      </c>
      <c r="L146">
        <v>0</v>
      </c>
      <c r="M146">
        <v>0</v>
      </c>
      <c r="N146">
        <v>1</v>
      </c>
      <c r="O146">
        <v>0</v>
      </c>
      <c r="P146">
        <v>1</v>
      </c>
      <c r="Q146">
        <v>0</v>
      </c>
      <c r="R146">
        <v>0</v>
      </c>
      <c r="S146">
        <v>0</v>
      </c>
      <c r="T146">
        <v>0</v>
      </c>
      <c r="U146">
        <v>1</v>
      </c>
      <c r="V146">
        <v>0</v>
      </c>
      <c r="W146">
        <v>0</v>
      </c>
    </row>
    <row r="147" spans="1:24" ht="72" x14ac:dyDescent="0.3">
      <c r="A147" s="8" t="s">
        <v>690</v>
      </c>
      <c r="B147" s="54">
        <v>90714</v>
      </c>
      <c r="C147" t="s">
        <v>2</v>
      </c>
      <c r="D147" t="s">
        <v>294</v>
      </c>
      <c r="E147" s="8" t="s">
        <v>379</v>
      </c>
      <c r="F147" s="53">
        <v>45258</v>
      </c>
      <c r="G147" t="s">
        <v>207</v>
      </c>
      <c r="H147" s="8" t="s">
        <v>703</v>
      </c>
      <c r="I147">
        <v>0</v>
      </c>
      <c r="J147">
        <v>1</v>
      </c>
      <c r="K147">
        <v>0</v>
      </c>
      <c r="L147">
        <v>0</v>
      </c>
      <c r="M147">
        <v>0</v>
      </c>
      <c r="N147">
        <v>1</v>
      </c>
      <c r="O147">
        <v>0</v>
      </c>
      <c r="P147">
        <v>1</v>
      </c>
      <c r="Q147">
        <v>0</v>
      </c>
      <c r="R147">
        <v>1</v>
      </c>
      <c r="S147">
        <v>0</v>
      </c>
      <c r="T147">
        <v>1</v>
      </c>
      <c r="U147">
        <v>0</v>
      </c>
      <c r="V147">
        <v>0</v>
      </c>
      <c r="W147">
        <v>0</v>
      </c>
      <c r="X147" s="8" t="s">
        <v>700</v>
      </c>
    </row>
    <row r="148" spans="1:24" ht="72" x14ac:dyDescent="0.3">
      <c r="A148" s="8" t="s">
        <v>691</v>
      </c>
      <c r="B148" s="54">
        <v>97478</v>
      </c>
      <c r="C148" t="s">
        <v>2</v>
      </c>
      <c r="D148" t="s">
        <v>294</v>
      </c>
      <c r="E148" s="8" t="s">
        <v>379</v>
      </c>
      <c r="F148" s="53">
        <v>45786</v>
      </c>
      <c r="G148" t="s">
        <v>192</v>
      </c>
      <c r="H148" s="8" t="s">
        <v>701</v>
      </c>
      <c r="I148">
        <v>1</v>
      </c>
      <c r="J148">
        <v>1</v>
      </c>
      <c r="K148">
        <v>0</v>
      </c>
      <c r="L148">
        <v>1</v>
      </c>
      <c r="M148">
        <v>0</v>
      </c>
      <c r="N148">
        <v>0</v>
      </c>
      <c r="O148">
        <v>0</v>
      </c>
      <c r="P148">
        <v>0</v>
      </c>
      <c r="Q148">
        <v>0</v>
      </c>
      <c r="R148">
        <v>1</v>
      </c>
      <c r="S148">
        <v>1</v>
      </c>
      <c r="T148">
        <v>0</v>
      </c>
      <c r="U148">
        <v>0</v>
      </c>
      <c r="V148">
        <v>0</v>
      </c>
      <c r="W148">
        <v>0</v>
      </c>
    </row>
    <row r="149" spans="1:24" ht="115.2" x14ac:dyDescent="0.3">
      <c r="A149" s="8" t="s">
        <v>692</v>
      </c>
      <c r="B149" s="54">
        <v>93267</v>
      </c>
      <c r="C149" t="s">
        <v>2</v>
      </c>
      <c r="D149" t="s">
        <v>294</v>
      </c>
      <c r="E149" s="8" t="s">
        <v>379</v>
      </c>
      <c r="F149" s="53">
        <v>45446</v>
      </c>
      <c r="G149" t="s">
        <v>264</v>
      </c>
      <c r="H149" s="8" t="s">
        <v>705</v>
      </c>
      <c r="I149">
        <v>0</v>
      </c>
      <c r="J149">
        <v>1</v>
      </c>
      <c r="K149">
        <v>0</v>
      </c>
      <c r="L149">
        <v>0</v>
      </c>
      <c r="M149">
        <v>0</v>
      </c>
      <c r="N149">
        <v>1</v>
      </c>
      <c r="O149">
        <v>0</v>
      </c>
      <c r="P149">
        <v>0</v>
      </c>
      <c r="Q149">
        <v>0</v>
      </c>
      <c r="R149">
        <v>0</v>
      </c>
      <c r="S149">
        <v>0</v>
      </c>
      <c r="T149">
        <v>1</v>
      </c>
      <c r="U149">
        <v>0</v>
      </c>
      <c r="V149">
        <v>0</v>
      </c>
      <c r="W149">
        <v>0</v>
      </c>
    </row>
    <row r="150" spans="1:24" ht="100.8" x14ac:dyDescent="0.3">
      <c r="A150" s="8" t="s">
        <v>693</v>
      </c>
      <c r="B150" s="54">
        <v>85240</v>
      </c>
      <c r="C150" t="s">
        <v>2</v>
      </c>
      <c r="D150" t="s">
        <v>294</v>
      </c>
      <c r="E150" s="8" t="s">
        <v>379</v>
      </c>
      <c r="F150" s="53">
        <v>45345</v>
      </c>
      <c r="G150" t="s">
        <v>264</v>
      </c>
      <c r="H150" s="8" t="s">
        <v>702</v>
      </c>
      <c r="I150">
        <v>0</v>
      </c>
      <c r="J150">
        <v>0</v>
      </c>
      <c r="K150">
        <v>0</v>
      </c>
      <c r="L150">
        <v>0</v>
      </c>
      <c r="M150">
        <v>0</v>
      </c>
      <c r="N150">
        <v>1</v>
      </c>
      <c r="O150">
        <v>0</v>
      </c>
      <c r="P150">
        <v>1</v>
      </c>
      <c r="Q150">
        <v>0</v>
      </c>
      <c r="R150">
        <v>0</v>
      </c>
      <c r="S150">
        <v>0</v>
      </c>
      <c r="T150">
        <v>1</v>
      </c>
      <c r="U150">
        <v>0</v>
      </c>
      <c r="V150">
        <v>0</v>
      </c>
      <c r="W150">
        <v>0</v>
      </c>
    </row>
    <row r="151" spans="1:24" ht="72" x14ac:dyDescent="0.3">
      <c r="A151" s="8" t="s">
        <v>694</v>
      </c>
      <c r="B151" s="54">
        <v>86577</v>
      </c>
      <c r="C151" t="s">
        <v>2</v>
      </c>
      <c r="D151" t="s">
        <v>294</v>
      </c>
      <c r="E151" s="8" t="s">
        <v>379</v>
      </c>
      <c r="F151" s="53">
        <v>45029</v>
      </c>
      <c r="G151" t="s">
        <v>281</v>
      </c>
      <c r="H151" s="8" t="s">
        <v>706</v>
      </c>
      <c r="I151">
        <v>0</v>
      </c>
      <c r="J151">
        <v>1</v>
      </c>
      <c r="K151">
        <v>0</v>
      </c>
      <c r="L151">
        <v>0</v>
      </c>
      <c r="M151">
        <v>0</v>
      </c>
      <c r="N151">
        <v>1</v>
      </c>
      <c r="O151">
        <v>0</v>
      </c>
      <c r="P151">
        <v>1</v>
      </c>
      <c r="Q151">
        <v>0</v>
      </c>
      <c r="R151">
        <v>0</v>
      </c>
      <c r="S151">
        <v>0</v>
      </c>
      <c r="T151">
        <v>0</v>
      </c>
      <c r="U151">
        <v>0</v>
      </c>
      <c r="V151">
        <v>0</v>
      </c>
      <c r="W151">
        <v>0</v>
      </c>
    </row>
    <row r="152" spans="1:24" ht="86.4" x14ac:dyDescent="0.3">
      <c r="A152" s="8" t="s">
        <v>695</v>
      </c>
      <c r="B152" s="54">
        <v>97481</v>
      </c>
      <c r="C152" t="s">
        <v>2</v>
      </c>
      <c r="D152" t="s">
        <v>294</v>
      </c>
      <c r="E152" s="8" t="s">
        <v>379</v>
      </c>
      <c r="F152" s="53">
        <v>45786</v>
      </c>
      <c r="G152" t="s">
        <v>192</v>
      </c>
      <c r="H152" s="8" t="s">
        <v>708</v>
      </c>
      <c r="I152">
        <v>0</v>
      </c>
      <c r="J152">
        <v>0</v>
      </c>
      <c r="K152">
        <v>0</v>
      </c>
      <c r="L152">
        <v>1</v>
      </c>
      <c r="M152">
        <v>0</v>
      </c>
      <c r="N152">
        <v>1</v>
      </c>
      <c r="O152">
        <v>0</v>
      </c>
      <c r="P152">
        <v>0</v>
      </c>
      <c r="Q152">
        <v>0</v>
      </c>
      <c r="R152">
        <v>0</v>
      </c>
      <c r="S152">
        <v>0</v>
      </c>
      <c r="T152">
        <v>1</v>
      </c>
      <c r="U152">
        <v>1</v>
      </c>
      <c r="V152">
        <v>0</v>
      </c>
      <c r="W152">
        <v>0</v>
      </c>
    </row>
    <row r="153" spans="1:24" ht="129.6" x14ac:dyDescent="0.3">
      <c r="A153" s="8" t="s">
        <v>696</v>
      </c>
      <c r="B153" s="54">
        <v>89186</v>
      </c>
      <c r="C153" t="s">
        <v>2</v>
      </c>
      <c r="D153" t="s">
        <v>294</v>
      </c>
      <c r="E153" s="8" t="s">
        <v>379</v>
      </c>
      <c r="F153" s="53">
        <v>45167</v>
      </c>
      <c r="G153" t="s">
        <v>212</v>
      </c>
      <c r="H153" s="8" t="s">
        <v>699</v>
      </c>
      <c r="I153">
        <v>0</v>
      </c>
      <c r="J153">
        <v>0</v>
      </c>
      <c r="K153">
        <v>0</v>
      </c>
      <c r="L153">
        <v>0</v>
      </c>
      <c r="M153">
        <v>0</v>
      </c>
      <c r="N153">
        <v>1</v>
      </c>
      <c r="O153">
        <v>0</v>
      </c>
      <c r="P153">
        <v>0</v>
      </c>
      <c r="Q153">
        <v>0</v>
      </c>
      <c r="R153">
        <v>1</v>
      </c>
      <c r="S153">
        <v>0</v>
      </c>
      <c r="T153">
        <v>1</v>
      </c>
      <c r="U153">
        <v>1</v>
      </c>
      <c r="V153">
        <v>0</v>
      </c>
      <c r="W153">
        <v>0</v>
      </c>
    </row>
    <row r="154" spans="1:24" ht="86.4" x14ac:dyDescent="0.3">
      <c r="A154" s="8" t="s">
        <v>697</v>
      </c>
      <c r="B154" s="54">
        <v>85919</v>
      </c>
      <c r="C154" t="s">
        <v>2</v>
      </c>
      <c r="D154" t="s">
        <v>294</v>
      </c>
      <c r="E154" s="8" t="s">
        <v>379</v>
      </c>
      <c r="F154" s="53">
        <v>44997</v>
      </c>
      <c r="G154" t="s">
        <v>281</v>
      </c>
      <c r="H154" s="8" t="s">
        <v>707</v>
      </c>
      <c r="I154">
        <v>0</v>
      </c>
      <c r="J154">
        <v>0</v>
      </c>
      <c r="K154">
        <v>0</v>
      </c>
      <c r="L154">
        <v>1</v>
      </c>
      <c r="M154">
        <v>0</v>
      </c>
      <c r="N154">
        <v>1</v>
      </c>
      <c r="O154">
        <v>0</v>
      </c>
      <c r="P154">
        <v>0</v>
      </c>
      <c r="Q154">
        <v>1</v>
      </c>
      <c r="R154">
        <v>1</v>
      </c>
      <c r="S154">
        <v>1</v>
      </c>
      <c r="T154">
        <v>1</v>
      </c>
      <c r="U154">
        <v>0</v>
      </c>
      <c r="V154">
        <v>0</v>
      </c>
      <c r="W154">
        <v>0</v>
      </c>
    </row>
    <row r="155" spans="1:24" ht="100.8" x14ac:dyDescent="0.3">
      <c r="A155" s="8" t="s">
        <v>698</v>
      </c>
      <c r="B155" s="54">
        <v>100391</v>
      </c>
      <c r="C155" t="s">
        <v>2</v>
      </c>
      <c r="D155" t="s">
        <v>294</v>
      </c>
      <c r="E155" s="8" t="s">
        <v>379</v>
      </c>
      <c r="F155" s="53">
        <v>46095</v>
      </c>
      <c r="G155" t="s">
        <v>184</v>
      </c>
      <c r="H155" s="8" t="s">
        <v>704</v>
      </c>
      <c r="I155">
        <v>0</v>
      </c>
      <c r="J155">
        <v>1</v>
      </c>
      <c r="K155">
        <v>0</v>
      </c>
      <c r="L155">
        <v>0</v>
      </c>
      <c r="M155">
        <v>0</v>
      </c>
      <c r="N155">
        <v>1</v>
      </c>
      <c r="O155">
        <v>0</v>
      </c>
      <c r="P155">
        <v>0</v>
      </c>
      <c r="Q155">
        <v>0</v>
      </c>
      <c r="R155">
        <v>0</v>
      </c>
      <c r="S155">
        <v>0</v>
      </c>
      <c r="T155">
        <v>1</v>
      </c>
      <c r="U155">
        <v>0</v>
      </c>
      <c r="V155">
        <v>0</v>
      </c>
      <c r="W155">
        <v>0</v>
      </c>
    </row>
  </sheetData>
  <phoneticPr fontId="9" type="noConversion"/>
  <hyperlinks>
    <hyperlink ref="B51" r:id="rId1" xr:uid="{3E6AA5F6-66EA-40EF-A6E8-C3B75ABDBC32}"/>
    <hyperlink ref="B52" r:id="rId2" xr:uid="{5FF6CE7C-A26C-49AF-B6C0-818000D8BFCA}"/>
    <hyperlink ref="B53" r:id="rId3" xr:uid="{BF3884E0-297C-4A99-BCDD-E91894C5ED4E}"/>
    <hyperlink ref="B55" r:id="rId4" xr:uid="{E0911487-34B3-461F-B9DB-0E9F3C46D1BA}"/>
    <hyperlink ref="B54" r:id="rId5" xr:uid="{94A68BE4-8FF0-4BFA-90BD-FEAD25E83951}"/>
    <hyperlink ref="B56" r:id="rId6" xr:uid="{D1F2CF9F-6868-4E25-8F19-FCFDD66D481F}"/>
    <hyperlink ref="B57" r:id="rId7" xr:uid="{050DE4FE-A5EC-4FF7-9CF0-B9E0E3D4CCE0}"/>
    <hyperlink ref="B148" r:id="rId8" display="https://www.goingelectric.de/forum/viewtopic.php?f=1353&amp;t=97478" xr:uid="{E53A9827-0068-4C47-86CB-06C0A5B8CFB7}"/>
    <hyperlink ref="B153" r:id="rId9" display="https://www.goingelectric.de/forum/viewtopic.php?f=785&amp;t=89186" xr:uid="{76025A82-B7A5-4295-9B7D-0F1561830715}"/>
    <hyperlink ref="B150" r:id="rId10" display="https://www.goingelectric.de/forum/viewtopic.php?f=781&amp;t=85240&amp;start=40" xr:uid="{984F0C87-6E95-4C59-9905-D3E5C86FE48C}"/>
    <hyperlink ref="B147" r:id="rId11" display="https://www.goingelectric.de/forum/viewtopic.php?f=935&amp;t=90714" xr:uid="{F2135D04-75CB-478E-AA51-AC4614DE7B19}"/>
    <hyperlink ref="B155" r:id="rId12" display="https://www.goingelectric.de/forum/viewtopic.php?f=777&amp;t=100391" xr:uid="{2C2690E2-043A-4485-A55C-AB92F904397D}"/>
    <hyperlink ref="B149" r:id="rId13" display="https://www.goingelectric.de/forum/viewtopic.php?f=935&amp;t=93267" xr:uid="{AECF1897-36DE-48BB-9125-AF502DF6DF4C}"/>
    <hyperlink ref="B151" r:id="rId14" display="https://www.goingelectric.de/forum/viewtopic.php?f=784&amp;t=86577" xr:uid="{972A34F9-88DA-4386-9DEC-225C486D421D}"/>
    <hyperlink ref="B154" r:id="rId15" display="https://www.goingelectric.de/forum/viewtopic.php?f=785&amp;t=85919" xr:uid="{159D64A7-7D8A-401E-B3E7-1DBCBA1D8B99}"/>
    <hyperlink ref="B152" r:id="rId16" display="https://www.goingelectric.de/forum/viewtopic.php?f=1185&amp;t=97481" xr:uid="{7501D79B-EC5E-42D2-BF04-F61CE468A239}"/>
    <hyperlink ref="B146" r:id="rId17" display="https://www.goingelectric.de/forum/viewtopic.php?f=45&amp;t=97855&amp;start=20&amp;sid=8459893a562eeb607cc41560918f4d34" xr:uid="{D84C1351-2AAC-435A-A222-865724B4A62D}"/>
  </hyperlinks>
  <pageMargins left="0.7" right="0.7" top="0.75" bottom="0.75" header="0.3" footer="0.3"/>
  <pageSetup paperSize="9" orientation="portrait"/>
  <tableParts count="2">
    <tablePart r:id="rId18"/>
    <tablePart r:id="rId19"/>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A1BEC-487B-4B65-91ED-C69641A1261B}">
  <sheetPr>
    <tabColor theme="4" tint="0.59999389629810485"/>
  </sheetPr>
  <dimension ref="A1:U156"/>
  <sheetViews>
    <sheetView showOutlineSymbols="0" workbookViewId="0">
      <selection activeCell="F10" sqref="F10"/>
    </sheetView>
  </sheetViews>
  <sheetFormatPr defaultRowHeight="14.4" x14ac:dyDescent="0.3"/>
  <cols>
    <col min="1" max="1" width="9.5546875" customWidth="1"/>
    <col min="2" max="2" width="10" bestFit="1" customWidth="1"/>
    <col min="3" max="3" width="10.77734375" customWidth="1"/>
    <col min="4" max="4" width="10.109375" customWidth="1"/>
    <col min="6" max="6" width="109.88671875" style="8" bestFit="1" customWidth="1"/>
    <col min="13" max="14" width="9.109375" customWidth="1"/>
  </cols>
  <sheetData>
    <row r="1" spans="1:21" x14ac:dyDescent="0.3">
      <c r="A1" t="s">
        <v>396</v>
      </c>
      <c r="B1" t="s">
        <v>176</v>
      </c>
      <c r="C1" t="s">
        <v>0</v>
      </c>
      <c r="D1" t="s">
        <v>178</v>
      </c>
      <c r="E1" t="s">
        <v>3</v>
      </c>
      <c r="F1" s="8" t="s">
        <v>180</v>
      </c>
      <c r="G1" t="s">
        <v>119</v>
      </c>
      <c r="H1" t="s">
        <v>123</v>
      </c>
      <c r="I1" t="s">
        <v>127</v>
      </c>
      <c r="J1" t="s">
        <v>131</v>
      </c>
      <c r="K1" t="s">
        <v>135</v>
      </c>
      <c r="L1" t="s">
        <v>139</v>
      </c>
      <c r="M1" t="s">
        <v>143</v>
      </c>
      <c r="N1" t="s">
        <v>147</v>
      </c>
      <c r="O1" t="s">
        <v>150</v>
      </c>
      <c r="P1" t="s">
        <v>154</v>
      </c>
      <c r="Q1" t="s">
        <v>157</v>
      </c>
      <c r="R1" t="s">
        <v>161</v>
      </c>
      <c r="S1" t="s">
        <v>164</v>
      </c>
      <c r="T1" t="s">
        <v>168</v>
      </c>
      <c r="U1" t="s">
        <v>172</v>
      </c>
    </row>
    <row r="2" spans="1:21" x14ac:dyDescent="0.3">
      <c r="A2" t="s">
        <v>397</v>
      </c>
      <c r="B2">
        <v>1</v>
      </c>
      <c r="C2" t="s">
        <v>1</v>
      </c>
      <c r="D2" t="s">
        <v>183</v>
      </c>
      <c r="E2" t="s">
        <v>184</v>
      </c>
      <c r="F2" s="8" t="s">
        <v>185</v>
      </c>
      <c r="G2">
        <v>0</v>
      </c>
      <c r="H2">
        <v>0</v>
      </c>
      <c r="I2">
        <v>0</v>
      </c>
      <c r="J2">
        <v>1</v>
      </c>
      <c r="K2">
        <v>0</v>
      </c>
      <c r="L2">
        <v>1</v>
      </c>
      <c r="M2">
        <v>0</v>
      </c>
      <c r="N2">
        <v>0</v>
      </c>
      <c r="O2">
        <v>0</v>
      </c>
      <c r="P2">
        <v>0</v>
      </c>
      <c r="Q2">
        <v>0</v>
      </c>
      <c r="R2">
        <v>0</v>
      </c>
      <c r="S2">
        <v>0</v>
      </c>
      <c r="T2">
        <v>0</v>
      </c>
      <c r="U2">
        <v>0</v>
      </c>
    </row>
    <row r="3" spans="1:21" x14ac:dyDescent="0.3">
      <c r="A3" t="s">
        <v>398</v>
      </c>
      <c r="B3">
        <v>2</v>
      </c>
      <c r="C3" t="s">
        <v>1</v>
      </c>
      <c r="D3" t="s">
        <v>183</v>
      </c>
      <c r="E3" t="s">
        <v>187</v>
      </c>
      <c r="F3" s="8" t="s">
        <v>188</v>
      </c>
      <c r="G3">
        <v>1</v>
      </c>
      <c r="H3">
        <v>0</v>
      </c>
      <c r="I3">
        <v>0</v>
      </c>
      <c r="J3">
        <v>0</v>
      </c>
      <c r="K3">
        <v>0</v>
      </c>
      <c r="L3">
        <v>0</v>
      </c>
      <c r="M3">
        <v>0</v>
      </c>
      <c r="N3">
        <v>0</v>
      </c>
      <c r="O3">
        <v>0</v>
      </c>
      <c r="P3">
        <v>0</v>
      </c>
      <c r="Q3">
        <v>1</v>
      </c>
      <c r="R3">
        <v>0</v>
      </c>
      <c r="S3">
        <v>0</v>
      </c>
      <c r="T3">
        <v>0</v>
      </c>
      <c r="U3">
        <v>0</v>
      </c>
    </row>
    <row r="4" spans="1:21" x14ac:dyDescent="0.3">
      <c r="A4" t="s">
        <v>399</v>
      </c>
      <c r="B4">
        <v>3</v>
      </c>
      <c r="C4" t="s">
        <v>1</v>
      </c>
      <c r="D4" t="s">
        <v>183</v>
      </c>
      <c r="E4" t="s">
        <v>187</v>
      </c>
      <c r="F4" s="8" t="s">
        <v>190</v>
      </c>
      <c r="G4">
        <v>0</v>
      </c>
      <c r="H4">
        <v>0</v>
      </c>
      <c r="I4">
        <v>0</v>
      </c>
      <c r="J4">
        <v>0</v>
      </c>
      <c r="K4">
        <v>0</v>
      </c>
      <c r="L4">
        <v>1</v>
      </c>
      <c r="M4">
        <v>0</v>
      </c>
      <c r="N4">
        <v>1</v>
      </c>
      <c r="O4">
        <v>0</v>
      </c>
      <c r="P4">
        <v>0</v>
      </c>
      <c r="Q4">
        <v>0</v>
      </c>
      <c r="R4">
        <v>0</v>
      </c>
      <c r="S4">
        <v>1</v>
      </c>
      <c r="T4">
        <v>0</v>
      </c>
      <c r="U4">
        <v>0</v>
      </c>
    </row>
    <row r="5" spans="1:21" x14ac:dyDescent="0.3">
      <c r="A5" t="s">
        <v>400</v>
      </c>
      <c r="B5">
        <v>4</v>
      </c>
      <c r="C5" t="s">
        <v>1</v>
      </c>
      <c r="D5" t="s">
        <v>183</v>
      </c>
      <c r="E5" t="s">
        <v>192</v>
      </c>
      <c r="F5" s="8" t="s">
        <v>728</v>
      </c>
      <c r="G5">
        <v>0</v>
      </c>
      <c r="H5">
        <v>0</v>
      </c>
      <c r="I5">
        <v>0</v>
      </c>
      <c r="J5">
        <v>1</v>
      </c>
      <c r="K5">
        <v>0</v>
      </c>
      <c r="L5">
        <v>1</v>
      </c>
      <c r="M5">
        <v>0</v>
      </c>
      <c r="N5">
        <v>0</v>
      </c>
      <c r="O5">
        <v>0</v>
      </c>
      <c r="P5">
        <v>0</v>
      </c>
      <c r="Q5">
        <v>0</v>
      </c>
      <c r="R5">
        <v>0</v>
      </c>
      <c r="S5">
        <v>1</v>
      </c>
      <c r="T5">
        <v>0</v>
      </c>
      <c r="U5">
        <v>0</v>
      </c>
    </row>
    <row r="6" spans="1:21" x14ac:dyDescent="0.3">
      <c r="A6" t="s">
        <v>401</v>
      </c>
      <c r="B6">
        <v>5</v>
      </c>
      <c r="C6" t="s">
        <v>1</v>
      </c>
      <c r="D6" t="s">
        <v>183</v>
      </c>
      <c r="E6" t="s">
        <v>194</v>
      </c>
      <c r="F6" s="8" t="s">
        <v>195</v>
      </c>
      <c r="G6">
        <v>1</v>
      </c>
      <c r="H6">
        <v>0</v>
      </c>
      <c r="I6">
        <v>0</v>
      </c>
      <c r="J6">
        <v>0</v>
      </c>
      <c r="K6">
        <v>0</v>
      </c>
      <c r="L6">
        <v>0</v>
      </c>
      <c r="M6">
        <v>0</v>
      </c>
      <c r="N6">
        <v>0</v>
      </c>
      <c r="O6">
        <v>0</v>
      </c>
      <c r="P6">
        <v>0</v>
      </c>
      <c r="Q6">
        <v>1</v>
      </c>
      <c r="R6">
        <v>0</v>
      </c>
      <c r="S6">
        <v>0</v>
      </c>
      <c r="T6">
        <v>0</v>
      </c>
      <c r="U6">
        <v>0</v>
      </c>
    </row>
    <row r="7" spans="1:21" x14ac:dyDescent="0.3">
      <c r="A7" t="s">
        <v>402</v>
      </c>
      <c r="B7">
        <v>6</v>
      </c>
      <c r="C7" t="s">
        <v>1</v>
      </c>
      <c r="D7" t="s">
        <v>183</v>
      </c>
      <c r="E7" t="s">
        <v>197</v>
      </c>
      <c r="F7" s="8" t="s">
        <v>198</v>
      </c>
      <c r="G7">
        <v>1</v>
      </c>
      <c r="H7">
        <v>0</v>
      </c>
      <c r="I7">
        <v>0</v>
      </c>
      <c r="J7">
        <v>0</v>
      </c>
      <c r="K7">
        <v>0</v>
      </c>
      <c r="L7">
        <v>0</v>
      </c>
      <c r="M7">
        <v>0</v>
      </c>
      <c r="N7">
        <v>0</v>
      </c>
      <c r="O7">
        <v>0</v>
      </c>
      <c r="P7">
        <v>0</v>
      </c>
      <c r="Q7">
        <v>1</v>
      </c>
      <c r="R7">
        <v>0</v>
      </c>
      <c r="S7">
        <v>0</v>
      </c>
      <c r="T7">
        <v>0</v>
      </c>
      <c r="U7">
        <v>0</v>
      </c>
    </row>
    <row r="8" spans="1:21" x14ac:dyDescent="0.3">
      <c r="A8" t="s">
        <v>403</v>
      </c>
      <c r="B8">
        <v>7</v>
      </c>
      <c r="C8" t="s">
        <v>1</v>
      </c>
      <c r="D8" t="s">
        <v>183</v>
      </c>
      <c r="E8" t="s">
        <v>200</v>
      </c>
      <c r="F8" s="8" t="s">
        <v>201</v>
      </c>
      <c r="G8">
        <v>1</v>
      </c>
      <c r="H8">
        <v>0</v>
      </c>
      <c r="I8">
        <v>0</v>
      </c>
      <c r="J8">
        <v>0</v>
      </c>
      <c r="K8">
        <v>0</v>
      </c>
      <c r="L8">
        <v>0</v>
      </c>
      <c r="M8">
        <v>0</v>
      </c>
      <c r="N8">
        <v>0</v>
      </c>
      <c r="O8">
        <v>0</v>
      </c>
      <c r="P8">
        <v>0</v>
      </c>
      <c r="Q8">
        <v>1</v>
      </c>
      <c r="R8">
        <v>0</v>
      </c>
      <c r="S8">
        <v>0</v>
      </c>
      <c r="T8">
        <v>0</v>
      </c>
      <c r="U8">
        <v>0</v>
      </c>
    </row>
    <row r="9" spans="1:21" x14ac:dyDescent="0.3">
      <c r="A9" t="s">
        <v>404</v>
      </c>
      <c r="B9">
        <v>8</v>
      </c>
      <c r="C9" t="s">
        <v>1</v>
      </c>
      <c r="D9" t="s">
        <v>183</v>
      </c>
      <c r="E9" t="s">
        <v>203</v>
      </c>
      <c r="F9" s="8" t="s">
        <v>204</v>
      </c>
      <c r="G9">
        <v>1</v>
      </c>
      <c r="H9">
        <v>0</v>
      </c>
      <c r="I9">
        <v>0</v>
      </c>
      <c r="J9">
        <v>0</v>
      </c>
      <c r="K9">
        <v>0</v>
      </c>
      <c r="L9">
        <v>0</v>
      </c>
      <c r="M9">
        <v>0</v>
      </c>
      <c r="N9">
        <v>0</v>
      </c>
      <c r="O9">
        <v>0</v>
      </c>
      <c r="P9">
        <v>0</v>
      </c>
      <c r="Q9">
        <v>1</v>
      </c>
      <c r="R9">
        <v>0</v>
      </c>
      <c r="S9">
        <v>0</v>
      </c>
      <c r="T9">
        <v>0</v>
      </c>
      <c r="U9">
        <v>0</v>
      </c>
    </row>
    <row r="10" spans="1:21" x14ac:dyDescent="0.3">
      <c r="A10" t="s">
        <v>405</v>
      </c>
      <c r="B10">
        <v>9</v>
      </c>
      <c r="C10" t="s">
        <v>1</v>
      </c>
      <c r="D10" t="s">
        <v>183</v>
      </c>
      <c r="E10" t="s">
        <v>203</v>
      </c>
      <c r="F10" s="8" t="s">
        <v>730</v>
      </c>
      <c r="G10">
        <v>0</v>
      </c>
      <c r="H10">
        <v>0</v>
      </c>
      <c r="I10">
        <v>0</v>
      </c>
      <c r="J10">
        <v>0</v>
      </c>
      <c r="K10">
        <v>0</v>
      </c>
      <c r="L10">
        <v>0</v>
      </c>
      <c r="M10">
        <v>0</v>
      </c>
      <c r="N10">
        <v>1</v>
      </c>
      <c r="O10">
        <v>0</v>
      </c>
      <c r="P10">
        <v>0</v>
      </c>
      <c r="Q10">
        <v>0</v>
      </c>
      <c r="R10">
        <v>0</v>
      </c>
      <c r="S10">
        <v>0</v>
      </c>
      <c r="T10">
        <v>0</v>
      </c>
      <c r="U10">
        <v>0</v>
      </c>
    </row>
    <row r="11" spans="1:21" x14ac:dyDescent="0.3">
      <c r="A11" t="s">
        <v>406</v>
      </c>
      <c r="B11">
        <v>10</v>
      </c>
      <c r="C11" t="s">
        <v>1</v>
      </c>
      <c r="D11" t="s">
        <v>183</v>
      </c>
      <c r="E11" t="s">
        <v>207</v>
      </c>
      <c r="F11" s="8" t="s">
        <v>208</v>
      </c>
      <c r="G11">
        <v>0</v>
      </c>
      <c r="H11">
        <v>1</v>
      </c>
      <c r="I11">
        <v>0</v>
      </c>
      <c r="J11">
        <v>1</v>
      </c>
      <c r="K11">
        <v>0</v>
      </c>
      <c r="L11">
        <v>1</v>
      </c>
      <c r="M11">
        <v>0</v>
      </c>
      <c r="N11">
        <v>0</v>
      </c>
      <c r="O11">
        <v>0</v>
      </c>
      <c r="P11">
        <v>0</v>
      </c>
      <c r="Q11">
        <v>0</v>
      </c>
      <c r="R11">
        <v>1</v>
      </c>
      <c r="S11">
        <v>0</v>
      </c>
      <c r="T11">
        <v>0</v>
      </c>
      <c r="U11">
        <v>0</v>
      </c>
    </row>
    <row r="12" spans="1:21" ht="28.8" x14ac:dyDescent="0.3">
      <c r="A12" t="s">
        <v>407</v>
      </c>
      <c r="B12">
        <v>11</v>
      </c>
      <c r="C12" t="s">
        <v>1</v>
      </c>
      <c r="D12" t="s">
        <v>183</v>
      </c>
      <c r="E12" t="s">
        <v>207</v>
      </c>
      <c r="F12" s="8" t="s">
        <v>210</v>
      </c>
      <c r="G12">
        <v>1</v>
      </c>
      <c r="H12">
        <v>0</v>
      </c>
      <c r="I12">
        <v>0</v>
      </c>
      <c r="J12">
        <v>0</v>
      </c>
      <c r="K12">
        <v>0</v>
      </c>
      <c r="L12">
        <v>0</v>
      </c>
      <c r="M12">
        <v>0</v>
      </c>
      <c r="N12">
        <v>0</v>
      </c>
      <c r="O12">
        <v>0</v>
      </c>
      <c r="P12">
        <v>0</v>
      </c>
      <c r="Q12">
        <v>1</v>
      </c>
      <c r="R12">
        <v>0</v>
      </c>
      <c r="S12">
        <v>0</v>
      </c>
      <c r="T12">
        <v>0</v>
      </c>
      <c r="U12">
        <v>0</v>
      </c>
    </row>
    <row r="13" spans="1:21" ht="28.8" x14ac:dyDescent="0.3">
      <c r="A13" t="s">
        <v>408</v>
      </c>
      <c r="B13">
        <v>12</v>
      </c>
      <c r="C13" t="s">
        <v>1</v>
      </c>
      <c r="D13" t="s">
        <v>183</v>
      </c>
      <c r="E13" t="s">
        <v>207</v>
      </c>
      <c r="F13" s="8" t="s">
        <v>211</v>
      </c>
      <c r="G13">
        <v>1</v>
      </c>
      <c r="H13">
        <v>0</v>
      </c>
      <c r="I13">
        <v>0</v>
      </c>
      <c r="J13">
        <v>0</v>
      </c>
      <c r="K13">
        <v>1</v>
      </c>
      <c r="L13">
        <v>1</v>
      </c>
      <c r="M13">
        <v>0</v>
      </c>
      <c r="N13">
        <v>0</v>
      </c>
      <c r="O13">
        <v>0</v>
      </c>
      <c r="P13">
        <v>0</v>
      </c>
      <c r="Q13">
        <v>0</v>
      </c>
      <c r="R13">
        <v>0</v>
      </c>
      <c r="S13">
        <v>0</v>
      </c>
      <c r="T13">
        <v>0</v>
      </c>
      <c r="U13">
        <v>0</v>
      </c>
    </row>
    <row r="14" spans="1:21" x14ac:dyDescent="0.3">
      <c r="A14" t="s">
        <v>409</v>
      </c>
      <c r="B14">
        <v>13</v>
      </c>
      <c r="C14" t="s">
        <v>1</v>
      </c>
      <c r="D14" t="s">
        <v>183</v>
      </c>
      <c r="E14" t="s">
        <v>212</v>
      </c>
      <c r="F14" s="8" t="s">
        <v>729</v>
      </c>
      <c r="G14">
        <v>0</v>
      </c>
      <c r="H14">
        <v>0</v>
      </c>
      <c r="I14">
        <v>0</v>
      </c>
      <c r="J14">
        <v>1</v>
      </c>
      <c r="K14">
        <v>0</v>
      </c>
      <c r="L14">
        <v>1</v>
      </c>
      <c r="M14">
        <v>0</v>
      </c>
      <c r="N14">
        <v>0</v>
      </c>
      <c r="O14">
        <v>0</v>
      </c>
      <c r="P14">
        <v>0</v>
      </c>
      <c r="Q14">
        <v>0</v>
      </c>
      <c r="R14">
        <v>0</v>
      </c>
      <c r="S14">
        <v>1</v>
      </c>
      <c r="T14">
        <v>0</v>
      </c>
      <c r="U14">
        <v>0</v>
      </c>
    </row>
    <row r="15" spans="1:21" x14ac:dyDescent="0.3">
      <c r="A15" t="s">
        <v>410</v>
      </c>
      <c r="B15">
        <v>14</v>
      </c>
      <c r="C15" t="s">
        <v>1</v>
      </c>
      <c r="D15" t="s">
        <v>183</v>
      </c>
      <c r="E15" t="s">
        <v>212</v>
      </c>
      <c r="F15" s="8" t="s">
        <v>214</v>
      </c>
      <c r="G15">
        <v>1</v>
      </c>
      <c r="H15">
        <v>0</v>
      </c>
      <c r="I15">
        <v>1</v>
      </c>
      <c r="J15">
        <v>0</v>
      </c>
      <c r="K15">
        <v>0</v>
      </c>
      <c r="L15">
        <v>0</v>
      </c>
      <c r="M15">
        <v>0</v>
      </c>
      <c r="N15">
        <v>0</v>
      </c>
      <c r="O15">
        <v>0</v>
      </c>
      <c r="P15">
        <v>0</v>
      </c>
      <c r="Q15">
        <v>0</v>
      </c>
      <c r="R15">
        <v>0</v>
      </c>
      <c r="S15">
        <v>0</v>
      </c>
      <c r="T15">
        <v>0</v>
      </c>
      <c r="U15">
        <v>0</v>
      </c>
    </row>
    <row r="16" spans="1:21" ht="28.8" x14ac:dyDescent="0.3">
      <c r="A16" t="s">
        <v>411</v>
      </c>
      <c r="B16">
        <v>15</v>
      </c>
      <c r="C16" t="s">
        <v>1</v>
      </c>
      <c r="D16" t="s">
        <v>183</v>
      </c>
      <c r="E16" t="s">
        <v>216</v>
      </c>
      <c r="F16" s="8" t="s">
        <v>217</v>
      </c>
      <c r="G16">
        <v>0</v>
      </c>
      <c r="H16">
        <v>0</v>
      </c>
      <c r="I16">
        <v>0</v>
      </c>
      <c r="J16">
        <v>0</v>
      </c>
      <c r="K16">
        <v>0</v>
      </c>
      <c r="L16">
        <v>0</v>
      </c>
      <c r="M16">
        <v>0</v>
      </c>
      <c r="N16">
        <v>1</v>
      </c>
      <c r="O16">
        <v>0</v>
      </c>
      <c r="P16">
        <v>0</v>
      </c>
      <c r="Q16">
        <v>0</v>
      </c>
      <c r="R16">
        <v>0</v>
      </c>
      <c r="S16">
        <v>0</v>
      </c>
      <c r="T16">
        <v>0</v>
      </c>
      <c r="U16">
        <v>0</v>
      </c>
    </row>
    <row r="17" spans="1:21" ht="28.8" x14ac:dyDescent="0.3">
      <c r="A17" t="s">
        <v>412</v>
      </c>
      <c r="B17">
        <v>16</v>
      </c>
      <c r="C17" t="s">
        <v>1</v>
      </c>
      <c r="D17" t="s">
        <v>183</v>
      </c>
      <c r="E17" t="s">
        <v>216</v>
      </c>
      <c r="F17" s="8" t="s">
        <v>218</v>
      </c>
      <c r="G17">
        <v>0</v>
      </c>
      <c r="H17">
        <v>0</v>
      </c>
      <c r="I17">
        <v>0</v>
      </c>
      <c r="J17">
        <v>0</v>
      </c>
      <c r="K17">
        <v>0</v>
      </c>
      <c r="L17">
        <v>0</v>
      </c>
      <c r="M17">
        <v>0</v>
      </c>
      <c r="N17">
        <v>1</v>
      </c>
      <c r="O17">
        <v>0</v>
      </c>
      <c r="P17">
        <v>0</v>
      </c>
      <c r="Q17">
        <v>0</v>
      </c>
      <c r="R17">
        <v>0</v>
      </c>
      <c r="S17">
        <v>0</v>
      </c>
      <c r="T17">
        <v>0</v>
      </c>
      <c r="U17">
        <v>0</v>
      </c>
    </row>
    <row r="18" spans="1:21" ht="28.8" x14ac:dyDescent="0.3">
      <c r="A18" t="s">
        <v>413</v>
      </c>
      <c r="B18">
        <v>17</v>
      </c>
      <c r="C18" t="s">
        <v>1</v>
      </c>
      <c r="D18" t="s">
        <v>183</v>
      </c>
      <c r="E18" t="s">
        <v>216</v>
      </c>
      <c r="F18" s="8" t="s">
        <v>219</v>
      </c>
      <c r="G18">
        <v>0</v>
      </c>
      <c r="H18">
        <v>0</v>
      </c>
      <c r="I18">
        <v>0</v>
      </c>
      <c r="J18">
        <v>0</v>
      </c>
      <c r="K18">
        <v>0</v>
      </c>
      <c r="L18">
        <v>0</v>
      </c>
      <c r="M18">
        <v>0</v>
      </c>
      <c r="N18">
        <v>1</v>
      </c>
      <c r="O18">
        <v>0</v>
      </c>
      <c r="P18">
        <v>0</v>
      </c>
      <c r="Q18">
        <v>0</v>
      </c>
      <c r="R18">
        <v>0</v>
      </c>
      <c r="S18">
        <v>0</v>
      </c>
      <c r="T18">
        <v>0</v>
      </c>
      <c r="U18">
        <v>0</v>
      </c>
    </row>
    <row r="19" spans="1:21" x14ac:dyDescent="0.3">
      <c r="A19" t="s">
        <v>414</v>
      </c>
      <c r="B19">
        <v>18</v>
      </c>
      <c r="C19" t="s">
        <v>1</v>
      </c>
      <c r="D19" t="s">
        <v>220</v>
      </c>
      <c r="E19" t="s">
        <v>184</v>
      </c>
      <c r="F19" s="8" t="s">
        <v>221</v>
      </c>
      <c r="G19">
        <v>0</v>
      </c>
      <c r="H19">
        <v>0</v>
      </c>
      <c r="I19">
        <v>0</v>
      </c>
      <c r="J19">
        <v>0</v>
      </c>
      <c r="K19">
        <v>0</v>
      </c>
      <c r="L19">
        <v>1</v>
      </c>
      <c r="M19">
        <v>0</v>
      </c>
      <c r="N19">
        <v>0</v>
      </c>
      <c r="O19">
        <v>0</v>
      </c>
      <c r="P19">
        <v>1</v>
      </c>
      <c r="Q19">
        <v>0</v>
      </c>
      <c r="R19">
        <v>1</v>
      </c>
      <c r="S19">
        <v>0</v>
      </c>
      <c r="T19">
        <v>0</v>
      </c>
      <c r="U19">
        <v>0</v>
      </c>
    </row>
    <row r="20" spans="1:21" x14ac:dyDescent="0.3">
      <c r="A20" t="s">
        <v>415</v>
      </c>
      <c r="B20">
        <v>19</v>
      </c>
      <c r="C20" t="s">
        <v>1</v>
      </c>
      <c r="D20" t="s">
        <v>220</v>
      </c>
      <c r="E20" t="s">
        <v>184</v>
      </c>
      <c r="F20" s="8" t="s">
        <v>223</v>
      </c>
      <c r="G20">
        <v>1</v>
      </c>
      <c r="H20">
        <v>0</v>
      </c>
      <c r="I20">
        <v>0</v>
      </c>
      <c r="J20">
        <v>0</v>
      </c>
      <c r="K20">
        <v>1</v>
      </c>
      <c r="L20">
        <v>0</v>
      </c>
      <c r="M20">
        <v>1</v>
      </c>
      <c r="N20">
        <v>0</v>
      </c>
      <c r="O20">
        <v>0</v>
      </c>
      <c r="P20">
        <v>0</v>
      </c>
      <c r="Q20">
        <v>0</v>
      </c>
      <c r="R20">
        <v>0</v>
      </c>
      <c r="S20">
        <v>0</v>
      </c>
      <c r="T20">
        <v>0</v>
      </c>
      <c r="U20">
        <v>0</v>
      </c>
    </row>
    <row r="21" spans="1:21" x14ac:dyDescent="0.3">
      <c r="A21" t="s">
        <v>416</v>
      </c>
      <c r="B21">
        <v>20</v>
      </c>
      <c r="C21" t="s">
        <v>1</v>
      </c>
      <c r="D21" t="s">
        <v>220</v>
      </c>
      <c r="E21" t="s">
        <v>225</v>
      </c>
      <c r="F21" s="8" t="s">
        <v>226</v>
      </c>
      <c r="G21">
        <v>0</v>
      </c>
      <c r="H21">
        <v>0</v>
      </c>
      <c r="I21">
        <v>0</v>
      </c>
      <c r="J21">
        <v>0</v>
      </c>
      <c r="K21">
        <v>0</v>
      </c>
      <c r="L21">
        <v>1</v>
      </c>
      <c r="M21">
        <v>0</v>
      </c>
      <c r="N21">
        <v>0</v>
      </c>
      <c r="O21">
        <v>0</v>
      </c>
      <c r="P21">
        <v>1</v>
      </c>
      <c r="Q21">
        <v>0</v>
      </c>
      <c r="R21">
        <v>1</v>
      </c>
      <c r="S21">
        <v>0</v>
      </c>
      <c r="T21">
        <v>0</v>
      </c>
      <c r="U21">
        <v>0</v>
      </c>
    </row>
    <row r="22" spans="1:21" x14ac:dyDescent="0.3">
      <c r="A22" t="s">
        <v>417</v>
      </c>
      <c r="B22">
        <v>21</v>
      </c>
      <c r="C22" t="s">
        <v>1</v>
      </c>
      <c r="D22" t="s">
        <v>220</v>
      </c>
      <c r="E22" t="s">
        <v>225</v>
      </c>
      <c r="F22" s="8" t="s">
        <v>228</v>
      </c>
      <c r="G22">
        <v>0</v>
      </c>
      <c r="H22">
        <v>0</v>
      </c>
      <c r="I22">
        <v>0</v>
      </c>
      <c r="J22">
        <v>0</v>
      </c>
      <c r="K22">
        <v>0</v>
      </c>
      <c r="L22">
        <v>1</v>
      </c>
      <c r="M22">
        <v>0</v>
      </c>
      <c r="N22">
        <v>0</v>
      </c>
      <c r="O22">
        <v>0</v>
      </c>
      <c r="P22">
        <v>1</v>
      </c>
      <c r="Q22">
        <v>0</v>
      </c>
      <c r="R22">
        <v>1</v>
      </c>
      <c r="S22">
        <v>0</v>
      </c>
      <c r="T22">
        <v>0</v>
      </c>
      <c r="U22">
        <v>0</v>
      </c>
    </row>
    <row r="23" spans="1:21" x14ac:dyDescent="0.3">
      <c r="A23" t="s">
        <v>418</v>
      </c>
      <c r="B23">
        <v>22</v>
      </c>
      <c r="C23" t="s">
        <v>1</v>
      </c>
      <c r="D23" t="s">
        <v>220</v>
      </c>
      <c r="E23" t="s">
        <v>225</v>
      </c>
      <c r="F23" s="8" t="s">
        <v>230</v>
      </c>
      <c r="G23">
        <v>0</v>
      </c>
      <c r="H23">
        <v>1</v>
      </c>
      <c r="I23">
        <v>0</v>
      </c>
      <c r="J23">
        <v>0</v>
      </c>
      <c r="K23">
        <v>0</v>
      </c>
      <c r="L23">
        <v>0</v>
      </c>
      <c r="M23">
        <v>0</v>
      </c>
      <c r="N23">
        <v>0</v>
      </c>
      <c r="O23">
        <v>0</v>
      </c>
      <c r="P23">
        <v>0</v>
      </c>
      <c r="Q23">
        <v>0</v>
      </c>
      <c r="R23">
        <v>1</v>
      </c>
      <c r="S23">
        <v>0</v>
      </c>
      <c r="T23">
        <v>0</v>
      </c>
      <c r="U23">
        <v>0</v>
      </c>
    </row>
    <row r="24" spans="1:21" x14ac:dyDescent="0.3">
      <c r="A24" t="s">
        <v>419</v>
      </c>
      <c r="B24">
        <v>23</v>
      </c>
      <c r="C24" t="s">
        <v>1</v>
      </c>
      <c r="D24" t="s">
        <v>220</v>
      </c>
      <c r="E24" t="s">
        <v>225</v>
      </c>
      <c r="F24" s="8" t="s">
        <v>232</v>
      </c>
      <c r="G24">
        <v>0</v>
      </c>
      <c r="H24">
        <v>0</v>
      </c>
      <c r="I24">
        <v>0</v>
      </c>
      <c r="J24">
        <v>0</v>
      </c>
      <c r="K24">
        <v>0</v>
      </c>
      <c r="L24">
        <v>1</v>
      </c>
      <c r="M24">
        <v>0</v>
      </c>
      <c r="N24">
        <v>0</v>
      </c>
      <c r="O24">
        <v>0</v>
      </c>
      <c r="P24">
        <v>1</v>
      </c>
      <c r="Q24">
        <v>0</v>
      </c>
      <c r="R24">
        <v>1</v>
      </c>
      <c r="S24">
        <v>0</v>
      </c>
      <c r="T24">
        <v>0</v>
      </c>
      <c r="U24">
        <v>0</v>
      </c>
    </row>
    <row r="25" spans="1:21" x14ac:dyDescent="0.3">
      <c r="A25" t="s">
        <v>420</v>
      </c>
      <c r="B25">
        <v>24</v>
      </c>
      <c r="C25" t="s">
        <v>1</v>
      </c>
      <c r="D25" t="s">
        <v>220</v>
      </c>
      <c r="E25" t="s">
        <v>225</v>
      </c>
      <c r="F25" s="8" t="s">
        <v>234</v>
      </c>
      <c r="G25">
        <v>0</v>
      </c>
      <c r="H25">
        <v>0</v>
      </c>
      <c r="I25">
        <v>0</v>
      </c>
      <c r="J25">
        <v>0</v>
      </c>
      <c r="K25">
        <v>0</v>
      </c>
      <c r="L25">
        <v>1</v>
      </c>
      <c r="M25">
        <v>0</v>
      </c>
      <c r="N25">
        <v>0</v>
      </c>
      <c r="O25">
        <v>0</v>
      </c>
      <c r="P25">
        <v>1</v>
      </c>
      <c r="Q25">
        <v>0</v>
      </c>
      <c r="R25">
        <v>1</v>
      </c>
      <c r="S25">
        <v>0</v>
      </c>
      <c r="T25">
        <v>0</v>
      </c>
      <c r="U25">
        <v>0</v>
      </c>
    </row>
    <row r="26" spans="1:21" x14ac:dyDescent="0.3">
      <c r="A26" t="s">
        <v>421</v>
      </c>
      <c r="B26">
        <v>25</v>
      </c>
      <c r="C26" t="s">
        <v>1</v>
      </c>
      <c r="D26" t="s">
        <v>220</v>
      </c>
      <c r="E26" t="s">
        <v>225</v>
      </c>
      <c r="F26" s="8" t="s">
        <v>236</v>
      </c>
      <c r="G26">
        <v>0</v>
      </c>
      <c r="H26">
        <v>0</v>
      </c>
      <c r="I26">
        <v>0</v>
      </c>
      <c r="J26">
        <v>1</v>
      </c>
      <c r="K26">
        <v>0</v>
      </c>
      <c r="L26">
        <v>1</v>
      </c>
      <c r="M26">
        <v>0</v>
      </c>
      <c r="N26">
        <v>0</v>
      </c>
      <c r="O26">
        <v>0</v>
      </c>
      <c r="P26">
        <v>1</v>
      </c>
      <c r="Q26">
        <v>0</v>
      </c>
      <c r="R26">
        <v>1</v>
      </c>
      <c r="S26">
        <v>0</v>
      </c>
      <c r="T26">
        <v>0</v>
      </c>
      <c r="U26">
        <v>0</v>
      </c>
    </row>
    <row r="27" spans="1:21" x14ac:dyDescent="0.3">
      <c r="A27" t="s">
        <v>422</v>
      </c>
      <c r="B27">
        <v>26</v>
      </c>
      <c r="C27" t="s">
        <v>1</v>
      </c>
      <c r="D27" t="s">
        <v>220</v>
      </c>
      <c r="E27" t="s">
        <v>225</v>
      </c>
      <c r="F27" s="8" t="s">
        <v>238</v>
      </c>
      <c r="G27">
        <v>0</v>
      </c>
      <c r="H27">
        <v>0</v>
      </c>
      <c r="I27">
        <v>0</v>
      </c>
      <c r="J27">
        <v>0</v>
      </c>
      <c r="K27">
        <v>0</v>
      </c>
      <c r="L27">
        <v>1</v>
      </c>
      <c r="M27">
        <v>0</v>
      </c>
      <c r="N27">
        <v>0</v>
      </c>
      <c r="O27">
        <v>0</v>
      </c>
      <c r="P27">
        <v>1</v>
      </c>
      <c r="Q27">
        <v>0</v>
      </c>
      <c r="R27">
        <v>1</v>
      </c>
      <c r="S27">
        <v>0</v>
      </c>
      <c r="T27">
        <v>0</v>
      </c>
      <c r="U27">
        <v>0</v>
      </c>
    </row>
    <row r="28" spans="1:21" x14ac:dyDescent="0.3">
      <c r="A28" t="s">
        <v>423</v>
      </c>
      <c r="B28">
        <v>27</v>
      </c>
      <c r="C28" t="s">
        <v>1</v>
      </c>
      <c r="D28" t="s">
        <v>220</v>
      </c>
      <c r="E28" t="s">
        <v>187</v>
      </c>
      <c r="F28" s="8" t="s">
        <v>240</v>
      </c>
      <c r="G28">
        <v>0</v>
      </c>
      <c r="H28">
        <v>1</v>
      </c>
      <c r="I28">
        <v>0</v>
      </c>
      <c r="J28">
        <v>0</v>
      </c>
      <c r="K28">
        <v>0</v>
      </c>
      <c r="L28">
        <v>1</v>
      </c>
      <c r="M28">
        <v>0</v>
      </c>
      <c r="N28">
        <v>0</v>
      </c>
      <c r="O28">
        <v>0</v>
      </c>
      <c r="P28">
        <v>0</v>
      </c>
      <c r="Q28">
        <v>0</v>
      </c>
      <c r="R28">
        <v>1</v>
      </c>
      <c r="S28">
        <v>0</v>
      </c>
      <c r="T28">
        <v>0</v>
      </c>
      <c r="U28">
        <v>0</v>
      </c>
    </row>
    <row r="29" spans="1:21" x14ac:dyDescent="0.3">
      <c r="A29" t="s">
        <v>424</v>
      </c>
      <c r="B29">
        <v>28</v>
      </c>
      <c r="C29" t="s">
        <v>1</v>
      </c>
      <c r="D29" t="s">
        <v>220</v>
      </c>
      <c r="E29" t="s">
        <v>192</v>
      </c>
      <c r="F29" s="8" t="s">
        <v>242</v>
      </c>
      <c r="G29">
        <v>0</v>
      </c>
      <c r="H29">
        <v>0</v>
      </c>
      <c r="I29">
        <v>0</v>
      </c>
      <c r="J29">
        <v>0</v>
      </c>
      <c r="K29">
        <v>0</v>
      </c>
      <c r="L29">
        <v>1</v>
      </c>
      <c r="M29">
        <v>0</v>
      </c>
      <c r="N29">
        <v>0</v>
      </c>
      <c r="O29">
        <v>0</v>
      </c>
      <c r="P29">
        <v>0</v>
      </c>
      <c r="Q29">
        <v>0</v>
      </c>
      <c r="R29">
        <v>0</v>
      </c>
      <c r="S29">
        <v>0</v>
      </c>
      <c r="T29">
        <v>0</v>
      </c>
      <c r="U29">
        <v>0</v>
      </c>
    </row>
    <row r="30" spans="1:21" x14ac:dyDescent="0.3">
      <c r="A30" t="s">
        <v>425</v>
      </c>
      <c r="B30">
        <v>29</v>
      </c>
      <c r="C30" t="s">
        <v>1</v>
      </c>
      <c r="D30" t="s">
        <v>220</v>
      </c>
      <c r="E30" t="s">
        <v>192</v>
      </c>
      <c r="F30" s="8" t="s">
        <v>244</v>
      </c>
      <c r="G30">
        <v>0</v>
      </c>
      <c r="H30">
        <v>0</v>
      </c>
      <c r="I30">
        <v>0</v>
      </c>
      <c r="J30">
        <v>0</v>
      </c>
      <c r="K30">
        <v>0</v>
      </c>
      <c r="L30">
        <v>1</v>
      </c>
      <c r="M30">
        <v>0</v>
      </c>
      <c r="N30">
        <v>0</v>
      </c>
      <c r="O30">
        <v>0</v>
      </c>
      <c r="P30">
        <v>1</v>
      </c>
      <c r="Q30">
        <v>0</v>
      </c>
      <c r="R30">
        <v>1</v>
      </c>
      <c r="S30">
        <v>0</v>
      </c>
      <c r="T30">
        <v>0</v>
      </c>
      <c r="U30">
        <v>0</v>
      </c>
    </row>
    <row r="31" spans="1:21" x14ac:dyDescent="0.3">
      <c r="A31" t="s">
        <v>426</v>
      </c>
      <c r="B31">
        <v>30</v>
      </c>
      <c r="C31" t="s">
        <v>1</v>
      </c>
      <c r="D31" t="s">
        <v>220</v>
      </c>
      <c r="E31" t="s">
        <v>194</v>
      </c>
      <c r="F31" s="8" t="s">
        <v>246</v>
      </c>
      <c r="G31">
        <v>0</v>
      </c>
      <c r="H31">
        <v>0</v>
      </c>
      <c r="I31">
        <v>0</v>
      </c>
      <c r="J31">
        <v>0</v>
      </c>
      <c r="K31">
        <v>0</v>
      </c>
      <c r="L31">
        <v>1</v>
      </c>
      <c r="M31">
        <v>0</v>
      </c>
      <c r="N31">
        <v>0</v>
      </c>
      <c r="O31">
        <v>0</v>
      </c>
      <c r="P31">
        <v>1</v>
      </c>
      <c r="Q31">
        <v>0</v>
      </c>
      <c r="R31">
        <v>1</v>
      </c>
      <c r="S31">
        <v>0</v>
      </c>
      <c r="T31">
        <v>0</v>
      </c>
      <c r="U31">
        <v>0</v>
      </c>
    </row>
    <row r="32" spans="1:21" x14ac:dyDescent="0.3">
      <c r="A32" t="s">
        <v>427</v>
      </c>
      <c r="B32">
        <v>31</v>
      </c>
      <c r="C32" t="s">
        <v>1</v>
      </c>
      <c r="D32" t="s">
        <v>220</v>
      </c>
      <c r="E32" t="s">
        <v>197</v>
      </c>
      <c r="F32" s="8" t="s">
        <v>248</v>
      </c>
      <c r="G32">
        <v>0</v>
      </c>
      <c r="H32">
        <v>1</v>
      </c>
      <c r="I32">
        <v>0</v>
      </c>
      <c r="J32">
        <v>0</v>
      </c>
      <c r="K32">
        <v>0</v>
      </c>
      <c r="L32">
        <v>1</v>
      </c>
      <c r="M32">
        <v>0</v>
      </c>
      <c r="N32">
        <v>0</v>
      </c>
      <c r="O32">
        <v>0</v>
      </c>
      <c r="P32">
        <v>1</v>
      </c>
      <c r="Q32">
        <v>0</v>
      </c>
      <c r="R32">
        <v>1</v>
      </c>
      <c r="S32">
        <v>0</v>
      </c>
      <c r="T32">
        <v>0</v>
      </c>
      <c r="U32">
        <v>0</v>
      </c>
    </row>
    <row r="33" spans="1:21" x14ac:dyDescent="0.3">
      <c r="A33" t="s">
        <v>428</v>
      </c>
      <c r="B33">
        <v>32</v>
      </c>
      <c r="C33" t="s">
        <v>1</v>
      </c>
      <c r="D33" t="s">
        <v>220</v>
      </c>
      <c r="E33" t="s">
        <v>197</v>
      </c>
      <c r="F33" s="8" t="s">
        <v>250</v>
      </c>
      <c r="G33">
        <v>0</v>
      </c>
      <c r="H33">
        <v>0</v>
      </c>
      <c r="I33">
        <v>0</v>
      </c>
      <c r="J33">
        <v>0</v>
      </c>
      <c r="K33">
        <v>0</v>
      </c>
      <c r="L33">
        <v>1</v>
      </c>
      <c r="M33">
        <v>0</v>
      </c>
      <c r="N33">
        <v>0</v>
      </c>
      <c r="O33">
        <v>0</v>
      </c>
      <c r="P33">
        <v>1</v>
      </c>
      <c r="Q33">
        <v>0</v>
      </c>
      <c r="R33">
        <v>1</v>
      </c>
      <c r="S33">
        <v>0</v>
      </c>
      <c r="T33">
        <v>0</v>
      </c>
      <c r="U33">
        <v>0</v>
      </c>
    </row>
    <row r="34" spans="1:21" x14ac:dyDescent="0.3">
      <c r="A34" t="s">
        <v>429</v>
      </c>
      <c r="B34">
        <v>33</v>
      </c>
      <c r="C34" t="s">
        <v>1</v>
      </c>
      <c r="D34" t="s">
        <v>220</v>
      </c>
      <c r="E34" t="s">
        <v>200</v>
      </c>
      <c r="F34" s="8" t="s">
        <v>252</v>
      </c>
      <c r="G34">
        <v>0</v>
      </c>
      <c r="H34">
        <v>0</v>
      </c>
      <c r="I34">
        <v>0</v>
      </c>
      <c r="J34">
        <v>0</v>
      </c>
      <c r="K34">
        <v>0</v>
      </c>
      <c r="L34">
        <v>1</v>
      </c>
      <c r="M34">
        <v>0</v>
      </c>
      <c r="N34">
        <v>0</v>
      </c>
      <c r="O34">
        <v>0</v>
      </c>
      <c r="P34">
        <v>1</v>
      </c>
      <c r="Q34">
        <v>0</v>
      </c>
      <c r="R34">
        <v>1</v>
      </c>
      <c r="S34">
        <v>0</v>
      </c>
      <c r="T34">
        <v>0</v>
      </c>
      <c r="U34">
        <v>0</v>
      </c>
    </row>
    <row r="35" spans="1:21" x14ac:dyDescent="0.3">
      <c r="A35" t="s">
        <v>430</v>
      </c>
      <c r="B35">
        <v>34</v>
      </c>
      <c r="C35" t="s">
        <v>1</v>
      </c>
      <c r="D35" t="s">
        <v>220</v>
      </c>
      <c r="E35" t="s">
        <v>200</v>
      </c>
      <c r="F35" s="8" t="s">
        <v>254</v>
      </c>
      <c r="G35">
        <v>0</v>
      </c>
      <c r="H35">
        <v>0</v>
      </c>
      <c r="I35">
        <v>0</v>
      </c>
      <c r="J35">
        <v>0</v>
      </c>
      <c r="K35">
        <v>0</v>
      </c>
      <c r="L35">
        <v>1</v>
      </c>
      <c r="M35">
        <v>0</v>
      </c>
      <c r="N35">
        <v>0</v>
      </c>
      <c r="O35">
        <v>0</v>
      </c>
      <c r="P35">
        <v>1</v>
      </c>
      <c r="Q35">
        <v>0</v>
      </c>
      <c r="R35">
        <v>1</v>
      </c>
      <c r="S35">
        <v>0</v>
      </c>
      <c r="T35">
        <v>0</v>
      </c>
      <c r="U35">
        <v>0</v>
      </c>
    </row>
    <row r="36" spans="1:21" x14ac:dyDescent="0.3">
      <c r="A36" t="s">
        <v>431</v>
      </c>
      <c r="B36">
        <v>35</v>
      </c>
      <c r="C36" t="s">
        <v>1</v>
      </c>
      <c r="D36" t="s">
        <v>220</v>
      </c>
      <c r="E36" t="s">
        <v>200</v>
      </c>
      <c r="F36" s="8" t="s">
        <v>256</v>
      </c>
      <c r="G36">
        <v>0</v>
      </c>
      <c r="H36">
        <v>0</v>
      </c>
      <c r="I36">
        <v>0</v>
      </c>
      <c r="J36">
        <v>0</v>
      </c>
      <c r="K36">
        <v>0</v>
      </c>
      <c r="L36">
        <v>1</v>
      </c>
      <c r="M36">
        <v>0</v>
      </c>
      <c r="N36">
        <v>0</v>
      </c>
      <c r="O36">
        <v>0</v>
      </c>
      <c r="P36">
        <v>1</v>
      </c>
      <c r="Q36">
        <v>0</v>
      </c>
      <c r="R36">
        <v>1</v>
      </c>
      <c r="S36">
        <v>0</v>
      </c>
      <c r="T36">
        <v>0</v>
      </c>
      <c r="U36">
        <v>0</v>
      </c>
    </row>
    <row r="37" spans="1:21" x14ac:dyDescent="0.3">
      <c r="A37" t="s">
        <v>432</v>
      </c>
      <c r="B37">
        <v>36</v>
      </c>
      <c r="C37" t="s">
        <v>1</v>
      </c>
      <c r="D37" t="s">
        <v>220</v>
      </c>
      <c r="E37" t="s">
        <v>200</v>
      </c>
      <c r="F37" s="8" t="s">
        <v>258</v>
      </c>
      <c r="G37">
        <v>0</v>
      </c>
      <c r="H37">
        <v>0</v>
      </c>
      <c r="I37">
        <v>0</v>
      </c>
      <c r="J37">
        <v>0</v>
      </c>
      <c r="K37">
        <v>0</v>
      </c>
      <c r="L37">
        <v>1</v>
      </c>
      <c r="M37">
        <v>0</v>
      </c>
      <c r="N37">
        <v>0</v>
      </c>
      <c r="O37">
        <v>0</v>
      </c>
      <c r="P37">
        <v>1</v>
      </c>
      <c r="Q37">
        <v>0</v>
      </c>
      <c r="R37">
        <v>1</v>
      </c>
      <c r="S37">
        <v>0</v>
      </c>
      <c r="T37">
        <v>0</v>
      </c>
      <c r="U37">
        <v>0</v>
      </c>
    </row>
    <row r="38" spans="1:21" x14ac:dyDescent="0.3">
      <c r="A38" t="s">
        <v>433</v>
      </c>
      <c r="B38">
        <v>37</v>
      </c>
      <c r="C38" t="s">
        <v>1</v>
      </c>
      <c r="D38" t="s">
        <v>220</v>
      </c>
      <c r="E38" t="s">
        <v>200</v>
      </c>
      <c r="F38" s="8" t="s">
        <v>260</v>
      </c>
      <c r="G38">
        <v>0</v>
      </c>
      <c r="H38">
        <v>0</v>
      </c>
      <c r="I38">
        <v>0</v>
      </c>
      <c r="J38">
        <v>1</v>
      </c>
      <c r="K38">
        <v>0</v>
      </c>
      <c r="L38">
        <v>1</v>
      </c>
      <c r="M38">
        <v>0</v>
      </c>
      <c r="N38">
        <v>0</v>
      </c>
      <c r="O38">
        <v>0</v>
      </c>
      <c r="P38">
        <v>1</v>
      </c>
      <c r="Q38">
        <v>0</v>
      </c>
      <c r="R38">
        <v>1</v>
      </c>
      <c r="S38">
        <v>0</v>
      </c>
      <c r="T38">
        <v>0</v>
      </c>
      <c r="U38">
        <v>0</v>
      </c>
    </row>
    <row r="39" spans="1:21" x14ac:dyDescent="0.3">
      <c r="A39" t="s">
        <v>434</v>
      </c>
      <c r="B39">
        <v>38</v>
      </c>
      <c r="C39" t="s">
        <v>1</v>
      </c>
      <c r="D39" t="s">
        <v>220</v>
      </c>
      <c r="E39" t="s">
        <v>200</v>
      </c>
      <c r="F39" s="8" t="s">
        <v>262</v>
      </c>
      <c r="G39">
        <v>0</v>
      </c>
      <c r="H39">
        <v>0</v>
      </c>
      <c r="I39">
        <v>0</v>
      </c>
      <c r="J39">
        <v>0</v>
      </c>
      <c r="K39">
        <v>0</v>
      </c>
      <c r="L39">
        <v>1</v>
      </c>
      <c r="M39">
        <v>0</v>
      </c>
      <c r="N39">
        <v>0</v>
      </c>
      <c r="O39">
        <v>0</v>
      </c>
      <c r="P39">
        <v>0</v>
      </c>
      <c r="Q39">
        <v>0</v>
      </c>
      <c r="R39">
        <v>0</v>
      </c>
      <c r="S39">
        <v>0</v>
      </c>
      <c r="T39">
        <v>0</v>
      </c>
      <c r="U39">
        <v>0</v>
      </c>
    </row>
    <row r="40" spans="1:21" x14ac:dyDescent="0.3">
      <c r="A40" t="s">
        <v>435</v>
      </c>
      <c r="B40">
        <v>39</v>
      </c>
      <c r="C40" t="s">
        <v>1</v>
      </c>
      <c r="D40" t="s">
        <v>220</v>
      </c>
      <c r="E40" t="s">
        <v>264</v>
      </c>
      <c r="F40" s="8" t="s">
        <v>265</v>
      </c>
      <c r="G40">
        <v>0</v>
      </c>
      <c r="H40">
        <v>0</v>
      </c>
      <c r="I40">
        <v>0</v>
      </c>
      <c r="J40">
        <v>0</v>
      </c>
      <c r="K40">
        <v>0</v>
      </c>
      <c r="L40">
        <v>1</v>
      </c>
      <c r="M40">
        <v>0</v>
      </c>
      <c r="N40">
        <v>0</v>
      </c>
      <c r="O40">
        <v>0</v>
      </c>
      <c r="P40">
        <v>1</v>
      </c>
      <c r="Q40">
        <v>0</v>
      </c>
      <c r="R40">
        <v>1</v>
      </c>
      <c r="S40">
        <v>0</v>
      </c>
      <c r="T40">
        <v>0</v>
      </c>
      <c r="U40">
        <v>0</v>
      </c>
    </row>
    <row r="41" spans="1:21" x14ac:dyDescent="0.3">
      <c r="A41" t="s">
        <v>436</v>
      </c>
      <c r="B41">
        <v>40</v>
      </c>
      <c r="C41" t="s">
        <v>1</v>
      </c>
      <c r="D41" t="s">
        <v>220</v>
      </c>
      <c r="E41" t="s">
        <v>264</v>
      </c>
      <c r="F41" s="8" t="s">
        <v>267</v>
      </c>
      <c r="G41">
        <v>1</v>
      </c>
      <c r="H41">
        <v>0</v>
      </c>
      <c r="I41">
        <v>0</v>
      </c>
      <c r="J41">
        <v>0</v>
      </c>
      <c r="K41">
        <v>0</v>
      </c>
      <c r="L41">
        <v>0</v>
      </c>
      <c r="M41">
        <v>0</v>
      </c>
      <c r="N41">
        <v>0</v>
      </c>
      <c r="O41">
        <v>0</v>
      </c>
      <c r="P41">
        <v>1</v>
      </c>
      <c r="Q41">
        <v>1</v>
      </c>
      <c r="R41">
        <v>0</v>
      </c>
      <c r="S41">
        <v>0</v>
      </c>
      <c r="T41">
        <v>0</v>
      </c>
      <c r="U41">
        <v>0</v>
      </c>
    </row>
    <row r="42" spans="1:21" x14ac:dyDescent="0.3">
      <c r="A42" t="s">
        <v>437</v>
      </c>
      <c r="B42">
        <v>41</v>
      </c>
      <c r="C42" t="s">
        <v>1</v>
      </c>
      <c r="D42" t="s">
        <v>220</v>
      </c>
      <c r="E42" t="s">
        <v>203</v>
      </c>
      <c r="F42" s="8" t="s">
        <v>268</v>
      </c>
      <c r="G42">
        <v>0</v>
      </c>
      <c r="H42">
        <v>0</v>
      </c>
      <c r="I42">
        <v>0</v>
      </c>
      <c r="J42">
        <v>0</v>
      </c>
      <c r="K42">
        <v>0</v>
      </c>
      <c r="L42">
        <v>1</v>
      </c>
      <c r="M42">
        <v>0</v>
      </c>
      <c r="N42">
        <v>0</v>
      </c>
      <c r="O42">
        <v>0</v>
      </c>
      <c r="P42">
        <v>1</v>
      </c>
      <c r="Q42">
        <v>0</v>
      </c>
      <c r="R42">
        <v>1</v>
      </c>
      <c r="S42">
        <v>0</v>
      </c>
      <c r="T42">
        <v>0</v>
      </c>
      <c r="U42">
        <v>0</v>
      </c>
    </row>
    <row r="43" spans="1:21" x14ac:dyDescent="0.3">
      <c r="A43" t="s">
        <v>438</v>
      </c>
      <c r="B43">
        <v>42</v>
      </c>
      <c r="C43" t="s">
        <v>1</v>
      </c>
      <c r="D43" t="s">
        <v>220</v>
      </c>
      <c r="E43" t="s">
        <v>203</v>
      </c>
      <c r="F43" s="8" t="s">
        <v>270</v>
      </c>
      <c r="G43">
        <v>1</v>
      </c>
      <c r="H43">
        <v>0</v>
      </c>
      <c r="I43">
        <v>0</v>
      </c>
      <c r="J43">
        <v>0</v>
      </c>
      <c r="K43">
        <v>0</v>
      </c>
      <c r="L43">
        <v>0</v>
      </c>
      <c r="M43">
        <v>0</v>
      </c>
      <c r="N43">
        <v>0</v>
      </c>
      <c r="O43">
        <v>0</v>
      </c>
      <c r="P43">
        <v>1</v>
      </c>
      <c r="Q43">
        <v>1</v>
      </c>
      <c r="R43">
        <v>0</v>
      </c>
      <c r="S43">
        <v>0</v>
      </c>
      <c r="T43">
        <v>0</v>
      </c>
      <c r="U43">
        <v>0</v>
      </c>
    </row>
    <row r="44" spans="1:21" x14ac:dyDescent="0.3">
      <c r="A44" t="s">
        <v>439</v>
      </c>
      <c r="B44">
        <v>43</v>
      </c>
      <c r="C44" t="s">
        <v>1</v>
      </c>
      <c r="D44" t="s">
        <v>220</v>
      </c>
      <c r="E44" t="s">
        <v>203</v>
      </c>
      <c r="F44" s="8" t="s">
        <v>272</v>
      </c>
      <c r="G44">
        <v>0</v>
      </c>
      <c r="H44">
        <v>1</v>
      </c>
      <c r="I44">
        <v>0</v>
      </c>
      <c r="J44">
        <v>0</v>
      </c>
      <c r="K44">
        <v>0</v>
      </c>
      <c r="L44">
        <v>1</v>
      </c>
      <c r="M44">
        <v>0</v>
      </c>
      <c r="N44">
        <v>0</v>
      </c>
      <c r="O44">
        <v>0</v>
      </c>
      <c r="P44">
        <v>1</v>
      </c>
      <c r="Q44">
        <v>0</v>
      </c>
      <c r="R44">
        <v>1</v>
      </c>
      <c r="S44">
        <v>0</v>
      </c>
      <c r="T44">
        <v>0</v>
      </c>
      <c r="U44">
        <v>0</v>
      </c>
    </row>
    <row r="45" spans="1:21" ht="28.8" x14ac:dyDescent="0.3">
      <c r="A45" t="s">
        <v>440</v>
      </c>
      <c r="B45">
        <v>44</v>
      </c>
      <c r="C45" t="s">
        <v>1</v>
      </c>
      <c r="D45" t="s">
        <v>220</v>
      </c>
      <c r="E45" t="s">
        <v>207</v>
      </c>
      <c r="F45" s="8" t="s">
        <v>273</v>
      </c>
      <c r="G45">
        <v>0</v>
      </c>
      <c r="H45">
        <v>1</v>
      </c>
      <c r="I45">
        <v>0</v>
      </c>
      <c r="J45">
        <v>0</v>
      </c>
      <c r="K45">
        <v>0</v>
      </c>
      <c r="L45">
        <v>1</v>
      </c>
      <c r="M45">
        <v>0</v>
      </c>
      <c r="N45">
        <v>0</v>
      </c>
      <c r="O45">
        <v>0</v>
      </c>
      <c r="P45">
        <v>1</v>
      </c>
      <c r="Q45">
        <v>0</v>
      </c>
      <c r="R45">
        <v>1</v>
      </c>
      <c r="S45">
        <v>1</v>
      </c>
      <c r="T45">
        <v>0</v>
      </c>
      <c r="U45">
        <v>0</v>
      </c>
    </row>
    <row r="46" spans="1:21" x14ac:dyDescent="0.3">
      <c r="A46" t="s">
        <v>441</v>
      </c>
      <c r="B46">
        <v>45</v>
      </c>
      <c r="C46" t="s">
        <v>1</v>
      </c>
      <c r="D46" t="s">
        <v>220</v>
      </c>
      <c r="E46" t="s">
        <v>207</v>
      </c>
      <c r="F46" s="8" t="s">
        <v>275</v>
      </c>
      <c r="G46">
        <v>0</v>
      </c>
      <c r="H46">
        <v>0</v>
      </c>
      <c r="I46">
        <v>0</v>
      </c>
      <c r="J46">
        <v>0</v>
      </c>
      <c r="K46">
        <v>0</v>
      </c>
      <c r="L46">
        <v>1</v>
      </c>
      <c r="M46">
        <v>0</v>
      </c>
      <c r="N46">
        <v>0</v>
      </c>
      <c r="O46">
        <v>0</v>
      </c>
      <c r="P46">
        <v>0</v>
      </c>
      <c r="Q46">
        <v>0</v>
      </c>
      <c r="R46">
        <v>1</v>
      </c>
      <c r="S46">
        <v>0</v>
      </c>
      <c r="T46">
        <v>0</v>
      </c>
      <c r="U46">
        <v>0</v>
      </c>
    </row>
    <row r="47" spans="1:21" x14ac:dyDescent="0.3">
      <c r="A47" t="s">
        <v>442</v>
      </c>
      <c r="B47">
        <v>46</v>
      </c>
      <c r="C47" t="s">
        <v>1</v>
      </c>
      <c r="D47" t="s">
        <v>220</v>
      </c>
      <c r="E47" t="s">
        <v>207</v>
      </c>
      <c r="F47" s="8" t="s">
        <v>277</v>
      </c>
      <c r="G47">
        <v>0</v>
      </c>
      <c r="H47">
        <v>0</v>
      </c>
      <c r="I47">
        <v>0</v>
      </c>
      <c r="J47">
        <v>0</v>
      </c>
      <c r="K47">
        <v>0</v>
      </c>
      <c r="L47">
        <v>1</v>
      </c>
      <c r="M47">
        <v>0</v>
      </c>
      <c r="N47">
        <v>0</v>
      </c>
      <c r="O47">
        <v>0</v>
      </c>
      <c r="P47">
        <v>1</v>
      </c>
      <c r="Q47">
        <v>0</v>
      </c>
      <c r="R47">
        <v>1</v>
      </c>
      <c r="S47">
        <v>0</v>
      </c>
      <c r="T47">
        <v>0</v>
      </c>
      <c r="U47">
        <v>0</v>
      </c>
    </row>
    <row r="48" spans="1:21" ht="28.8" x14ac:dyDescent="0.3">
      <c r="A48" t="s">
        <v>443</v>
      </c>
      <c r="B48">
        <v>47</v>
      </c>
      <c r="C48" t="s">
        <v>1</v>
      </c>
      <c r="D48" t="s">
        <v>220</v>
      </c>
      <c r="E48" t="s">
        <v>207</v>
      </c>
      <c r="F48" s="8" t="s">
        <v>279</v>
      </c>
      <c r="G48">
        <v>0</v>
      </c>
      <c r="H48">
        <v>0</v>
      </c>
      <c r="I48">
        <v>0</v>
      </c>
      <c r="J48">
        <v>1</v>
      </c>
      <c r="K48">
        <v>0</v>
      </c>
      <c r="L48">
        <v>1</v>
      </c>
      <c r="M48">
        <v>0</v>
      </c>
      <c r="N48">
        <v>0</v>
      </c>
      <c r="O48">
        <v>0</v>
      </c>
      <c r="P48">
        <v>1</v>
      </c>
      <c r="Q48">
        <v>0</v>
      </c>
      <c r="R48">
        <v>1</v>
      </c>
      <c r="S48">
        <v>0</v>
      </c>
      <c r="T48">
        <v>0</v>
      </c>
      <c r="U48">
        <v>0</v>
      </c>
    </row>
    <row r="49" spans="1:21" ht="28.8" x14ac:dyDescent="0.3">
      <c r="A49" t="s">
        <v>444</v>
      </c>
      <c r="B49">
        <v>48</v>
      </c>
      <c r="C49" t="s">
        <v>1</v>
      </c>
      <c r="D49" t="s">
        <v>220</v>
      </c>
      <c r="E49" t="s">
        <v>281</v>
      </c>
      <c r="F49" s="8" t="s">
        <v>710</v>
      </c>
      <c r="G49">
        <v>1</v>
      </c>
      <c r="H49">
        <v>0</v>
      </c>
      <c r="I49">
        <v>0</v>
      </c>
      <c r="J49">
        <v>1</v>
      </c>
      <c r="K49">
        <v>0</v>
      </c>
      <c r="L49">
        <v>0</v>
      </c>
      <c r="M49">
        <v>0</v>
      </c>
      <c r="N49">
        <v>0</v>
      </c>
      <c r="O49">
        <v>0</v>
      </c>
      <c r="P49">
        <v>0</v>
      </c>
      <c r="Q49">
        <v>0</v>
      </c>
      <c r="R49">
        <v>0</v>
      </c>
      <c r="S49">
        <v>0</v>
      </c>
      <c r="T49">
        <v>0</v>
      </c>
      <c r="U49">
        <v>0</v>
      </c>
    </row>
    <row r="50" spans="1:21" ht="28.8" x14ac:dyDescent="0.3">
      <c r="A50" t="s">
        <v>445</v>
      </c>
      <c r="B50">
        <v>49</v>
      </c>
      <c r="C50" t="s">
        <v>1</v>
      </c>
      <c r="D50" t="s">
        <v>220</v>
      </c>
      <c r="E50" t="s">
        <v>281</v>
      </c>
      <c r="F50" s="8" t="s">
        <v>284</v>
      </c>
      <c r="G50">
        <v>1</v>
      </c>
      <c r="H50">
        <v>0</v>
      </c>
      <c r="I50">
        <v>0</v>
      </c>
      <c r="J50">
        <v>0</v>
      </c>
      <c r="K50">
        <v>0</v>
      </c>
      <c r="L50">
        <v>1</v>
      </c>
      <c r="M50">
        <v>0</v>
      </c>
      <c r="N50">
        <v>0</v>
      </c>
      <c r="O50">
        <v>0</v>
      </c>
      <c r="P50">
        <v>1</v>
      </c>
      <c r="Q50">
        <v>1</v>
      </c>
      <c r="R50">
        <v>0</v>
      </c>
      <c r="S50">
        <v>0</v>
      </c>
      <c r="T50">
        <v>0</v>
      </c>
      <c r="U50">
        <v>0</v>
      </c>
    </row>
    <row r="51" spans="1:21" ht="43.2" x14ac:dyDescent="0.3">
      <c r="A51" t="s">
        <v>446</v>
      </c>
      <c r="B51">
        <v>113884059</v>
      </c>
      <c r="C51" t="s">
        <v>1</v>
      </c>
      <c r="D51" t="s">
        <v>287</v>
      </c>
      <c r="E51" t="s">
        <v>225</v>
      </c>
      <c r="F51" s="8" t="s">
        <v>711</v>
      </c>
      <c r="G51">
        <v>1</v>
      </c>
      <c r="H51">
        <v>1</v>
      </c>
      <c r="I51">
        <v>0</v>
      </c>
      <c r="J51">
        <v>1</v>
      </c>
      <c r="K51">
        <v>0</v>
      </c>
      <c r="L51">
        <v>1</v>
      </c>
      <c r="M51">
        <v>0</v>
      </c>
      <c r="N51">
        <v>0</v>
      </c>
      <c r="O51">
        <v>0</v>
      </c>
      <c r="P51">
        <v>1</v>
      </c>
      <c r="Q51">
        <v>1</v>
      </c>
      <c r="R51">
        <v>0</v>
      </c>
      <c r="S51">
        <v>0</v>
      </c>
      <c r="T51">
        <v>0</v>
      </c>
      <c r="U51">
        <v>0</v>
      </c>
    </row>
    <row r="52" spans="1:21" ht="43.2" x14ac:dyDescent="0.3">
      <c r="A52" t="s">
        <v>447</v>
      </c>
      <c r="B52">
        <v>110684131</v>
      </c>
      <c r="C52" t="s">
        <v>1</v>
      </c>
      <c r="D52" t="s">
        <v>287</v>
      </c>
      <c r="E52" t="s">
        <v>194</v>
      </c>
      <c r="F52" s="8" t="s">
        <v>712</v>
      </c>
      <c r="G52">
        <v>1</v>
      </c>
      <c r="H52">
        <v>1</v>
      </c>
      <c r="I52">
        <v>0</v>
      </c>
      <c r="J52">
        <v>0</v>
      </c>
      <c r="K52">
        <v>0</v>
      </c>
      <c r="L52">
        <v>1</v>
      </c>
      <c r="M52">
        <v>0</v>
      </c>
      <c r="N52">
        <v>0</v>
      </c>
      <c r="O52">
        <v>0</v>
      </c>
      <c r="P52">
        <v>1</v>
      </c>
      <c r="Q52">
        <v>0</v>
      </c>
      <c r="R52">
        <v>1</v>
      </c>
      <c r="S52">
        <v>1</v>
      </c>
      <c r="T52">
        <v>0</v>
      </c>
      <c r="U52">
        <v>0</v>
      </c>
    </row>
    <row r="53" spans="1:21" ht="43.2" x14ac:dyDescent="0.3">
      <c r="A53" t="s">
        <v>448</v>
      </c>
      <c r="B53">
        <v>107606189</v>
      </c>
      <c r="C53" t="s">
        <v>1</v>
      </c>
      <c r="D53" t="s">
        <v>287</v>
      </c>
      <c r="E53" t="s">
        <v>203</v>
      </c>
      <c r="F53" s="8" t="s">
        <v>713</v>
      </c>
      <c r="G53">
        <v>0</v>
      </c>
      <c r="H53">
        <v>0</v>
      </c>
      <c r="I53">
        <v>0</v>
      </c>
      <c r="J53">
        <v>0</v>
      </c>
      <c r="K53">
        <v>0</v>
      </c>
      <c r="L53">
        <v>1</v>
      </c>
      <c r="M53">
        <v>0</v>
      </c>
      <c r="N53">
        <v>1</v>
      </c>
      <c r="O53">
        <v>0</v>
      </c>
      <c r="P53">
        <v>0</v>
      </c>
      <c r="Q53">
        <v>0</v>
      </c>
      <c r="R53">
        <v>0</v>
      </c>
      <c r="S53">
        <v>1</v>
      </c>
      <c r="T53">
        <v>0</v>
      </c>
      <c r="U53">
        <v>0</v>
      </c>
    </row>
    <row r="54" spans="1:21" ht="57.6" x14ac:dyDescent="0.3">
      <c r="A54" t="s">
        <v>645</v>
      </c>
      <c r="B54">
        <v>110795738</v>
      </c>
      <c r="C54" t="s">
        <v>1</v>
      </c>
      <c r="D54" t="s">
        <v>287</v>
      </c>
      <c r="E54" t="s">
        <v>194</v>
      </c>
      <c r="F54" s="8" t="s">
        <v>714</v>
      </c>
      <c r="G54">
        <v>0</v>
      </c>
      <c r="H54">
        <v>1</v>
      </c>
      <c r="I54">
        <v>0</v>
      </c>
      <c r="J54">
        <v>0</v>
      </c>
      <c r="K54">
        <v>0</v>
      </c>
      <c r="L54">
        <v>1</v>
      </c>
      <c r="M54">
        <v>0</v>
      </c>
      <c r="N54">
        <v>1</v>
      </c>
      <c r="O54">
        <v>0</v>
      </c>
      <c r="P54">
        <v>1</v>
      </c>
      <c r="Q54">
        <v>0</v>
      </c>
      <c r="R54">
        <v>0</v>
      </c>
      <c r="S54">
        <v>0</v>
      </c>
      <c r="T54">
        <v>0</v>
      </c>
      <c r="U54">
        <v>0</v>
      </c>
    </row>
    <row r="55" spans="1:21" ht="28.8" x14ac:dyDescent="0.3">
      <c r="A55" t="s">
        <v>646</v>
      </c>
      <c r="B55">
        <v>110825872</v>
      </c>
      <c r="C55" t="s">
        <v>1</v>
      </c>
      <c r="D55" t="s">
        <v>287</v>
      </c>
      <c r="E55" t="s">
        <v>194</v>
      </c>
      <c r="F55" s="8" t="s">
        <v>715</v>
      </c>
      <c r="G55">
        <v>1</v>
      </c>
      <c r="H55">
        <v>0</v>
      </c>
      <c r="I55">
        <v>0</v>
      </c>
      <c r="J55">
        <v>0</v>
      </c>
      <c r="K55">
        <v>1</v>
      </c>
      <c r="L55">
        <v>1</v>
      </c>
      <c r="M55">
        <v>0</v>
      </c>
      <c r="N55">
        <v>1</v>
      </c>
      <c r="O55">
        <v>0</v>
      </c>
      <c r="P55">
        <v>0</v>
      </c>
      <c r="Q55">
        <v>1</v>
      </c>
      <c r="R55">
        <v>0</v>
      </c>
      <c r="S55">
        <v>0</v>
      </c>
      <c r="T55">
        <v>0</v>
      </c>
      <c r="U55">
        <v>0</v>
      </c>
    </row>
    <row r="56" spans="1:21" ht="57.6" x14ac:dyDescent="0.3">
      <c r="A56" t="s">
        <v>647</v>
      </c>
      <c r="B56">
        <v>110559634</v>
      </c>
      <c r="C56" t="s">
        <v>1</v>
      </c>
      <c r="D56" t="s">
        <v>287</v>
      </c>
      <c r="E56" t="s">
        <v>194</v>
      </c>
      <c r="F56" s="8" t="s">
        <v>716</v>
      </c>
      <c r="G56">
        <v>1</v>
      </c>
      <c r="H56">
        <v>0</v>
      </c>
      <c r="I56">
        <v>0</v>
      </c>
      <c r="J56">
        <v>0</v>
      </c>
      <c r="K56">
        <v>0</v>
      </c>
      <c r="L56">
        <v>1</v>
      </c>
      <c r="M56">
        <v>0</v>
      </c>
      <c r="N56">
        <v>1</v>
      </c>
      <c r="O56">
        <v>0</v>
      </c>
      <c r="P56">
        <v>0</v>
      </c>
      <c r="Q56">
        <v>0</v>
      </c>
      <c r="R56">
        <v>0</v>
      </c>
      <c r="S56">
        <v>1</v>
      </c>
      <c r="T56">
        <v>0</v>
      </c>
      <c r="U56">
        <v>0</v>
      </c>
    </row>
    <row r="57" spans="1:21" ht="43.2" x14ac:dyDescent="0.3">
      <c r="A57" t="s">
        <v>648</v>
      </c>
      <c r="B57">
        <v>110212244</v>
      </c>
      <c r="C57" t="s">
        <v>1</v>
      </c>
      <c r="D57" t="s">
        <v>287</v>
      </c>
      <c r="E57" t="s">
        <v>197</v>
      </c>
      <c r="F57" s="8" t="s">
        <v>717</v>
      </c>
      <c r="G57">
        <v>0</v>
      </c>
      <c r="H57">
        <v>0</v>
      </c>
      <c r="I57">
        <v>0</v>
      </c>
      <c r="J57">
        <v>0</v>
      </c>
      <c r="K57">
        <v>0</v>
      </c>
      <c r="L57">
        <v>1</v>
      </c>
      <c r="M57">
        <v>0</v>
      </c>
      <c r="N57">
        <v>1</v>
      </c>
      <c r="O57">
        <v>0</v>
      </c>
      <c r="P57">
        <v>0</v>
      </c>
      <c r="Q57">
        <v>0</v>
      </c>
      <c r="R57">
        <v>0</v>
      </c>
      <c r="S57">
        <v>1</v>
      </c>
      <c r="T57">
        <v>0</v>
      </c>
      <c r="U57">
        <v>0</v>
      </c>
    </row>
    <row r="60" spans="1:21" x14ac:dyDescent="0.3">
      <c r="A60" s="22" t="s">
        <v>396</v>
      </c>
      <c r="B60" s="22" t="s">
        <v>176</v>
      </c>
      <c r="C60" s="22" t="s">
        <v>0</v>
      </c>
      <c r="D60" s="22" t="s">
        <v>178</v>
      </c>
      <c r="E60" s="22" t="s">
        <v>3</v>
      </c>
      <c r="F60" s="23" t="s">
        <v>180</v>
      </c>
      <c r="G60" s="22" t="s">
        <v>119</v>
      </c>
      <c r="H60" s="22" t="s">
        <v>123</v>
      </c>
      <c r="I60" s="22" t="s">
        <v>127</v>
      </c>
      <c r="J60" s="22" t="s">
        <v>131</v>
      </c>
      <c r="K60" s="22" t="s">
        <v>135</v>
      </c>
      <c r="L60" s="22" t="s">
        <v>139</v>
      </c>
      <c r="M60" s="22" t="s">
        <v>143</v>
      </c>
      <c r="N60" s="22" t="s">
        <v>147</v>
      </c>
      <c r="O60" s="22" t="s">
        <v>150</v>
      </c>
      <c r="P60" s="22" t="s">
        <v>154</v>
      </c>
      <c r="Q60" s="22" t="s">
        <v>157</v>
      </c>
      <c r="R60" s="22" t="s">
        <v>161</v>
      </c>
      <c r="S60" s="22" t="s">
        <v>164</v>
      </c>
      <c r="T60" s="22" t="s">
        <v>168</v>
      </c>
      <c r="U60" s="22" t="s">
        <v>172</v>
      </c>
    </row>
    <row r="61" spans="1:21" x14ac:dyDescent="0.3">
      <c r="A61" s="19" t="s">
        <v>649</v>
      </c>
      <c r="B61" s="19">
        <v>1</v>
      </c>
      <c r="C61" s="19" t="s">
        <v>2</v>
      </c>
      <c r="D61" s="19" t="s">
        <v>183</v>
      </c>
      <c r="E61" s="19" t="s">
        <v>184</v>
      </c>
      <c r="F61" s="19" t="s">
        <v>295</v>
      </c>
      <c r="G61" s="19">
        <v>1</v>
      </c>
      <c r="H61" s="19">
        <v>0</v>
      </c>
      <c r="I61" s="19">
        <v>0</v>
      </c>
      <c r="J61" s="19">
        <v>0</v>
      </c>
      <c r="K61" s="19">
        <v>0</v>
      </c>
      <c r="L61" s="19">
        <v>0</v>
      </c>
      <c r="M61" s="19">
        <v>0</v>
      </c>
      <c r="N61" s="19">
        <v>0</v>
      </c>
      <c r="O61" s="19">
        <v>0</v>
      </c>
      <c r="P61" s="19">
        <v>0</v>
      </c>
      <c r="Q61" s="19">
        <v>1</v>
      </c>
      <c r="R61" s="19">
        <v>0</v>
      </c>
      <c r="S61" s="19">
        <v>0</v>
      </c>
      <c r="T61" s="19">
        <v>0</v>
      </c>
      <c r="U61" s="19">
        <v>0</v>
      </c>
    </row>
    <row r="62" spans="1:21" x14ac:dyDescent="0.3">
      <c r="A62" s="20" t="s">
        <v>650</v>
      </c>
      <c r="B62" s="20">
        <v>2</v>
      </c>
      <c r="C62" s="20" t="s">
        <v>2</v>
      </c>
      <c r="D62" s="20" t="s">
        <v>183</v>
      </c>
      <c r="E62" s="20" t="s">
        <v>184</v>
      </c>
      <c r="F62" s="20" t="s">
        <v>296</v>
      </c>
      <c r="G62" s="20">
        <v>0</v>
      </c>
      <c r="H62" s="20">
        <v>0</v>
      </c>
      <c r="I62" s="20">
        <v>0</v>
      </c>
      <c r="J62" s="20">
        <v>0</v>
      </c>
      <c r="K62" s="20">
        <v>0</v>
      </c>
      <c r="L62" s="20">
        <v>1</v>
      </c>
      <c r="M62" s="20">
        <v>0</v>
      </c>
      <c r="N62" s="20">
        <v>0</v>
      </c>
      <c r="O62" s="20">
        <v>0</v>
      </c>
      <c r="P62" s="20">
        <v>0</v>
      </c>
      <c r="Q62" s="20">
        <v>0</v>
      </c>
      <c r="R62" s="20">
        <v>1</v>
      </c>
      <c r="S62" s="20">
        <v>1</v>
      </c>
      <c r="T62" s="20">
        <v>0</v>
      </c>
      <c r="U62" s="20">
        <v>0</v>
      </c>
    </row>
    <row r="63" spans="1:21" x14ac:dyDescent="0.3">
      <c r="A63" s="19" t="s">
        <v>651</v>
      </c>
      <c r="B63" s="19">
        <v>3</v>
      </c>
      <c r="C63" s="19" t="s">
        <v>2</v>
      </c>
      <c r="D63" s="19" t="s">
        <v>183</v>
      </c>
      <c r="E63" s="19" t="s">
        <v>184</v>
      </c>
      <c r="F63" s="19" t="s">
        <v>297</v>
      </c>
      <c r="G63" s="19">
        <v>1</v>
      </c>
      <c r="H63" s="19">
        <v>0</v>
      </c>
      <c r="I63" s="19">
        <v>1</v>
      </c>
      <c r="J63" s="19">
        <v>0</v>
      </c>
      <c r="K63" s="19">
        <v>0</v>
      </c>
      <c r="L63" s="19">
        <v>0</v>
      </c>
      <c r="M63" s="19">
        <v>0</v>
      </c>
      <c r="N63" s="19">
        <v>0</v>
      </c>
      <c r="O63" s="19">
        <v>0</v>
      </c>
      <c r="P63" s="19">
        <v>0</v>
      </c>
      <c r="Q63" s="19">
        <v>1</v>
      </c>
      <c r="R63" s="19">
        <v>0</v>
      </c>
      <c r="S63" s="19">
        <v>1</v>
      </c>
      <c r="T63" s="19">
        <v>0</v>
      </c>
      <c r="U63" s="19">
        <v>0</v>
      </c>
    </row>
    <row r="64" spans="1:21" x14ac:dyDescent="0.3">
      <c r="A64" s="20" t="s">
        <v>652</v>
      </c>
      <c r="B64" s="20">
        <v>4</v>
      </c>
      <c r="C64" s="20" t="s">
        <v>2</v>
      </c>
      <c r="D64" s="20" t="s">
        <v>183</v>
      </c>
      <c r="E64" s="20" t="s">
        <v>184</v>
      </c>
      <c r="F64" s="20" t="s">
        <v>298</v>
      </c>
      <c r="G64" s="20">
        <v>1</v>
      </c>
      <c r="H64" s="20">
        <v>0</v>
      </c>
      <c r="I64" s="20">
        <v>0</v>
      </c>
      <c r="J64" s="20">
        <v>0</v>
      </c>
      <c r="K64" s="20">
        <v>0</v>
      </c>
      <c r="L64" s="20">
        <v>0</v>
      </c>
      <c r="M64" s="20">
        <v>0</v>
      </c>
      <c r="N64" s="20">
        <v>0</v>
      </c>
      <c r="O64" s="20">
        <v>0</v>
      </c>
      <c r="P64" s="20">
        <v>0</v>
      </c>
      <c r="Q64" s="20">
        <v>0</v>
      </c>
      <c r="R64" s="20">
        <v>1</v>
      </c>
      <c r="S64" s="20">
        <v>1</v>
      </c>
      <c r="T64" s="20">
        <v>0</v>
      </c>
      <c r="U64" s="20">
        <v>0</v>
      </c>
    </row>
    <row r="65" spans="1:21" x14ac:dyDescent="0.3">
      <c r="A65" s="19" t="s">
        <v>653</v>
      </c>
      <c r="B65" s="19">
        <v>5</v>
      </c>
      <c r="C65" s="19" t="s">
        <v>2</v>
      </c>
      <c r="D65" s="19" t="s">
        <v>183</v>
      </c>
      <c r="E65" s="19" t="s">
        <v>184</v>
      </c>
      <c r="F65" s="19" t="s">
        <v>299</v>
      </c>
      <c r="G65" s="19">
        <v>1</v>
      </c>
      <c r="H65" s="19">
        <v>0</v>
      </c>
      <c r="I65" s="19">
        <v>0</v>
      </c>
      <c r="J65" s="19">
        <v>0</v>
      </c>
      <c r="K65" s="19">
        <v>0</v>
      </c>
      <c r="L65" s="19">
        <v>0</v>
      </c>
      <c r="M65" s="19">
        <v>0</v>
      </c>
      <c r="N65" s="19">
        <v>0</v>
      </c>
      <c r="O65" s="19">
        <v>0</v>
      </c>
      <c r="P65" s="19">
        <v>0</v>
      </c>
      <c r="Q65" s="19">
        <v>0</v>
      </c>
      <c r="R65" s="19">
        <v>0</v>
      </c>
      <c r="S65" s="19">
        <v>0</v>
      </c>
      <c r="T65" s="19">
        <v>0</v>
      </c>
      <c r="U65" s="19">
        <v>0</v>
      </c>
    </row>
    <row r="66" spans="1:21" x14ac:dyDescent="0.3">
      <c r="A66" s="20" t="s">
        <v>654</v>
      </c>
      <c r="B66" s="20">
        <v>6</v>
      </c>
      <c r="C66" s="20" t="s">
        <v>2</v>
      </c>
      <c r="D66" s="20" t="s">
        <v>183</v>
      </c>
      <c r="E66" s="20" t="s">
        <v>184</v>
      </c>
      <c r="F66" s="20" t="s">
        <v>300</v>
      </c>
      <c r="G66" s="20">
        <v>1</v>
      </c>
      <c r="H66" s="20">
        <v>0</v>
      </c>
      <c r="I66" s="20">
        <v>0</v>
      </c>
      <c r="J66" s="20">
        <v>0</v>
      </c>
      <c r="K66" s="20">
        <v>0</v>
      </c>
      <c r="L66" s="20">
        <v>0</v>
      </c>
      <c r="M66" s="20">
        <v>0</v>
      </c>
      <c r="N66" s="20">
        <v>0</v>
      </c>
      <c r="O66" s="20">
        <v>0</v>
      </c>
      <c r="P66" s="20">
        <v>0</v>
      </c>
      <c r="Q66" s="20">
        <v>0</v>
      </c>
      <c r="R66" s="20">
        <v>0</v>
      </c>
      <c r="S66" s="20">
        <v>0</v>
      </c>
      <c r="T66" s="20">
        <v>0</v>
      </c>
      <c r="U66" s="20">
        <v>0</v>
      </c>
    </row>
    <row r="67" spans="1:21" x14ac:dyDescent="0.3">
      <c r="A67" s="19" t="s">
        <v>655</v>
      </c>
      <c r="B67" s="19">
        <v>7</v>
      </c>
      <c r="C67" s="19" t="s">
        <v>2</v>
      </c>
      <c r="D67" s="19" t="s">
        <v>183</v>
      </c>
      <c r="E67" s="19" t="s">
        <v>184</v>
      </c>
      <c r="F67" s="19" t="s">
        <v>301</v>
      </c>
      <c r="G67" s="19">
        <v>0</v>
      </c>
      <c r="H67" s="19">
        <v>0</v>
      </c>
      <c r="I67" s="19">
        <v>0</v>
      </c>
      <c r="J67" s="19">
        <v>0</v>
      </c>
      <c r="K67" s="19">
        <v>0</v>
      </c>
      <c r="L67" s="19">
        <v>1</v>
      </c>
      <c r="M67" s="19">
        <v>0</v>
      </c>
      <c r="N67" s="19">
        <v>0</v>
      </c>
      <c r="O67" s="19">
        <v>0</v>
      </c>
      <c r="P67" s="19">
        <v>0</v>
      </c>
      <c r="Q67" s="19">
        <v>0</v>
      </c>
      <c r="R67" s="19">
        <v>1</v>
      </c>
      <c r="S67" s="19">
        <v>0</v>
      </c>
      <c r="T67" s="19">
        <v>0</v>
      </c>
      <c r="U67" s="19">
        <v>0</v>
      </c>
    </row>
    <row r="68" spans="1:21" x14ac:dyDescent="0.3">
      <c r="A68" s="20" t="s">
        <v>656</v>
      </c>
      <c r="B68" s="20">
        <v>8</v>
      </c>
      <c r="C68" s="20" t="s">
        <v>2</v>
      </c>
      <c r="D68" s="20" t="s">
        <v>183</v>
      </c>
      <c r="E68" s="20" t="s">
        <v>225</v>
      </c>
      <c r="F68" s="20" t="s">
        <v>302</v>
      </c>
      <c r="G68" s="20">
        <v>0</v>
      </c>
      <c r="H68" s="20">
        <v>1</v>
      </c>
      <c r="I68" s="20">
        <v>0</v>
      </c>
      <c r="J68" s="20">
        <v>0</v>
      </c>
      <c r="K68" s="20">
        <v>0</v>
      </c>
      <c r="L68" s="20">
        <v>0</v>
      </c>
      <c r="M68" s="20">
        <v>0</v>
      </c>
      <c r="N68" s="20">
        <v>0</v>
      </c>
      <c r="O68" s="20">
        <v>0</v>
      </c>
      <c r="P68" s="20">
        <v>0</v>
      </c>
      <c r="Q68" s="20">
        <v>0</v>
      </c>
      <c r="R68" s="20">
        <v>0</v>
      </c>
      <c r="S68" s="20">
        <v>0</v>
      </c>
      <c r="T68" s="20">
        <v>0</v>
      </c>
      <c r="U68" s="20">
        <v>0</v>
      </c>
    </row>
    <row r="69" spans="1:21" x14ac:dyDescent="0.3">
      <c r="A69" s="19" t="s">
        <v>657</v>
      </c>
      <c r="B69" s="19">
        <v>9</v>
      </c>
      <c r="C69" s="19" t="s">
        <v>2</v>
      </c>
      <c r="D69" s="19" t="s">
        <v>183</v>
      </c>
      <c r="E69" s="19" t="s">
        <v>225</v>
      </c>
      <c r="F69" s="19" t="s">
        <v>303</v>
      </c>
      <c r="G69" s="19">
        <v>0</v>
      </c>
      <c r="H69" s="19">
        <v>0</v>
      </c>
      <c r="I69" s="19">
        <v>1</v>
      </c>
      <c r="J69" s="19">
        <v>0</v>
      </c>
      <c r="K69" s="19">
        <v>0</v>
      </c>
      <c r="L69" s="19">
        <v>0</v>
      </c>
      <c r="M69" s="19">
        <v>0</v>
      </c>
      <c r="N69" s="19">
        <v>0</v>
      </c>
      <c r="O69" s="19">
        <v>0</v>
      </c>
      <c r="P69" s="19">
        <v>0</v>
      </c>
      <c r="Q69" s="19">
        <v>0</v>
      </c>
      <c r="R69" s="19">
        <v>0</v>
      </c>
      <c r="S69" s="19">
        <v>0</v>
      </c>
      <c r="T69" s="19">
        <v>0</v>
      </c>
      <c r="U69" s="19">
        <v>0</v>
      </c>
    </row>
    <row r="70" spans="1:21" x14ac:dyDescent="0.3">
      <c r="A70" s="20" t="s">
        <v>658</v>
      </c>
      <c r="B70" s="20">
        <v>10</v>
      </c>
      <c r="C70" s="20" t="s">
        <v>2</v>
      </c>
      <c r="D70" s="20" t="s">
        <v>183</v>
      </c>
      <c r="E70" s="20" t="s">
        <v>225</v>
      </c>
      <c r="F70" s="20" t="s">
        <v>304</v>
      </c>
      <c r="G70" s="20">
        <v>0</v>
      </c>
      <c r="H70" s="20">
        <v>0</v>
      </c>
      <c r="I70" s="20">
        <v>0</v>
      </c>
      <c r="J70" s="20">
        <v>0</v>
      </c>
      <c r="K70" s="20">
        <v>0</v>
      </c>
      <c r="L70" s="20">
        <v>1</v>
      </c>
      <c r="M70" s="20">
        <v>0</v>
      </c>
      <c r="N70" s="20">
        <v>0</v>
      </c>
      <c r="O70" s="20">
        <v>0</v>
      </c>
      <c r="P70" s="20">
        <v>0</v>
      </c>
      <c r="Q70" s="20">
        <v>0</v>
      </c>
      <c r="R70" s="20">
        <v>0</v>
      </c>
      <c r="S70" s="20">
        <v>0</v>
      </c>
      <c r="T70" s="20">
        <v>0</v>
      </c>
      <c r="U70" s="20">
        <v>0</v>
      </c>
    </row>
    <row r="71" spans="1:21" x14ac:dyDescent="0.3">
      <c r="A71" s="19" t="s">
        <v>659</v>
      </c>
      <c r="B71" s="19">
        <v>11</v>
      </c>
      <c r="C71" s="19" t="s">
        <v>2</v>
      </c>
      <c r="D71" s="19" t="s">
        <v>183</v>
      </c>
      <c r="E71" s="19" t="s">
        <v>187</v>
      </c>
      <c r="F71" s="19" t="s">
        <v>305</v>
      </c>
      <c r="G71" s="19">
        <v>0</v>
      </c>
      <c r="H71" s="19">
        <v>0</v>
      </c>
      <c r="I71" s="19">
        <v>0</v>
      </c>
      <c r="J71" s="19">
        <v>1</v>
      </c>
      <c r="K71" s="19">
        <v>0</v>
      </c>
      <c r="L71" s="19">
        <v>0</v>
      </c>
      <c r="M71" s="19">
        <v>0</v>
      </c>
      <c r="N71" s="19">
        <v>0</v>
      </c>
      <c r="O71" s="19">
        <v>0</v>
      </c>
      <c r="P71" s="19">
        <v>0</v>
      </c>
      <c r="Q71" s="19">
        <v>0</v>
      </c>
      <c r="R71" s="19">
        <v>1</v>
      </c>
      <c r="S71" s="19">
        <v>1</v>
      </c>
      <c r="T71" s="19">
        <v>0</v>
      </c>
      <c r="U71" s="19">
        <v>0</v>
      </c>
    </row>
    <row r="72" spans="1:21" x14ac:dyDescent="0.3">
      <c r="A72" s="20" t="s">
        <v>660</v>
      </c>
      <c r="B72" s="20">
        <v>12</v>
      </c>
      <c r="C72" s="20" t="s">
        <v>2</v>
      </c>
      <c r="D72" s="20" t="s">
        <v>183</v>
      </c>
      <c r="E72" s="20" t="s">
        <v>192</v>
      </c>
      <c r="F72" s="20" t="s">
        <v>306</v>
      </c>
      <c r="G72" s="20">
        <v>0</v>
      </c>
      <c r="H72" s="20">
        <v>0</v>
      </c>
      <c r="I72" s="20">
        <v>0</v>
      </c>
      <c r="J72" s="20">
        <v>0</v>
      </c>
      <c r="K72" s="20">
        <v>0</v>
      </c>
      <c r="L72" s="20">
        <v>1</v>
      </c>
      <c r="M72" s="20">
        <v>0</v>
      </c>
      <c r="N72" s="20">
        <v>0</v>
      </c>
      <c r="O72" s="20">
        <v>0</v>
      </c>
      <c r="P72" s="20">
        <v>0</v>
      </c>
      <c r="Q72" s="20">
        <v>0</v>
      </c>
      <c r="R72" s="20">
        <v>0</v>
      </c>
      <c r="S72" s="20">
        <v>0</v>
      </c>
      <c r="T72" s="20">
        <v>0</v>
      </c>
      <c r="U72" s="20">
        <v>0</v>
      </c>
    </row>
    <row r="73" spans="1:21" x14ac:dyDescent="0.3">
      <c r="A73" s="19" t="s">
        <v>661</v>
      </c>
      <c r="B73" s="19">
        <v>13</v>
      </c>
      <c r="C73" s="19" t="s">
        <v>2</v>
      </c>
      <c r="D73" s="19" t="s">
        <v>183</v>
      </c>
      <c r="E73" s="19" t="s">
        <v>192</v>
      </c>
      <c r="F73" s="19" t="s">
        <v>307</v>
      </c>
      <c r="G73" s="19">
        <v>0</v>
      </c>
      <c r="H73" s="19">
        <v>0</v>
      </c>
      <c r="I73" s="19">
        <v>0</v>
      </c>
      <c r="J73" s="19">
        <v>0</v>
      </c>
      <c r="K73" s="19">
        <v>0</v>
      </c>
      <c r="L73" s="19">
        <v>0</v>
      </c>
      <c r="M73" s="19">
        <v>0</v>
      </c>
      <c r="N73" s="19">
        <v>0</v>
      </c>
      <c r="O73" s="19">
        <v>0</v>
      </c>
      <c r="P73" s="19">
        <v>1</v>
      </c>
      <c r="Q73" s="19">
        <v>0</v>
      </c>
      <c r="R73" s="19">
        <v>0</v>
      </c>
      <c r="S73" s="19">
        <v>0</v>
      </c>
      <c r="T73" s="19">
        <v>0</v>
      </c>
      <c r="U73" s="19">
        <v>0</v>
      </c>
    </row>
    <row r="74" spans="1:21" x14ac:dyDescent="0.3">
      <c r="A74" s="20" t="s">
        <v>662</v>
      </c>
      <c r="B74" s="20">
        <v>14</v>
      </c>
      <c r="C74" s="20" t="s">
        <v>2</v>
      </c>
      <c r="D74" s="20" t="s">
        <v>183</v>
      </c>
      <c r="E74" s="20" t="s">
        <v>194</v>
      </c>
      <c r="F74" s="20" t="s">
        <v>308</v>
      </c>
      <c r="G74" s="20">
        <v>1</v>
      </c>
      <c r="H74" s="20">
        <v>0</v>
      </c>
      <c r="I74" s="20">
        <v>0</v>
      </c>
      <c r="J74" s="20">
        <v>0</v>
      </c>
      <c r="K74" s="20">
        <v>0</v>
      </c>
      <c r="L74" s="20">
        <v>0</v>
      </c>
      <c r="M74" s="20">
        <v>0</v>
      </c>
      <c r="N74" s="20">
        <v>0</v>
      </c>
      <c r="O74" s="20">
        <v>0</v>
      </c>
      <c r="P74" s="20">
        <v>0</v>
      </c>
      <c r="Q74" s="20">
        <v>0</v>
      </c>
      <c r="R74" s="20">
        <v>0</v>
      </c>
      <c r="S74" s="20">
        <v>0</v>
      </c>
      <c r="T74" s="20">
        <v>0</v>
      </c>
      <c r="U74" s="20">
        <v>0</v>
      </c>
    </row>
    <row r="75" spans="1:21" x14ac:dyDescent="0.3">
      <c r="A75" s="19" t="s">
        <v>663</v>
      </c>
      <c r="B75" s="19">
        <v>15</v>
      </c>
      <c r="C75" s="19" t="s">
        <v>2</v>
      </c>
      <c r="D75" s="19" t="s">
        <v>183</v>
      </c>
      <c r="E75" s="19" t="s">
        <v>194</v>
      </c>
      <c r="F75" s="19" t="s">
        <v>309</v>
      </c>
      <c r="G75" s="19">
        <v>0</v>
      </c>
      <c r="H75" s="19">
        <v>1</v>
      </c>
      <c r="I75" s="19">
        <v>0</v>
      </c>
      <c r="J75" s="19">
        <v>0</v>
      </c>
      <c r="K75" s="19">
        <v>0</v>
      </c>
      <c r="L75" s="19">
        <v>1</v>
      </c>
      <c r="M75" s="19">
        <v>0</v>
      </c>
      <c r="N75" s="19">
        <v>0</v>
      </c>
      <c r="O75" s="19">
        <v>0</v>
      </c>
      <c r="P75" s="19">
        <v>0</v>
      </c>
      <c r="Q75" s="19">
        <v>0</v>
      </c>
      <c r="R75" s="19">
        <v>1</v>
      </c>
      <c r="S75" s="19">
        <v>1</v>
      </c>
      <c r="T75" s="19">
        <v>0</v>
      </c>
      <c r="U75" s="19">
        <v>0</v>
      </c>
    </row>
    <row r="76" spans="1:21" x14ac:dyDescent="0.3">
      <c r="A76" s="20" t="s">
        <v>664</v>
      </c>
      <c r="B76" s="20">
        <v>16</v>
      </c>
      <c r="C76" s="20" t="s">
        <v>2</v>
      </c>
      <c r="D76" s="20" t="s">
        <v>183</v>
      </c>
      <c r="E76" s="20" t="s">
        <v>194</v>
      </c>
      <c r="F76" s="20" t="s">
        <v>310</v>
      </c>
      <c r="G76" s="20">
        <v>1</v>
      </c>
      <c r="H76" s="20">
        <v>0</v>
      </c>
      <c r="I76" s="20">
        <v>0</v>
      </c>
      <c r="J76" s="20">
        <v>0</v>
      </c>
      <c r="K76" s="20">
        <v>0</v>
      </c>
      <c r="L76" s="20">
        <v>0</v>
      </c>
      <c r="M76" s="20">
        <v>0</v>
      </c>
      <c r="N76" s="20">
        <v>0</v>
      </c>
      <c r="O76" s="20">
        <v>0</v>
      </c>
      <c r="P76" s="20">
        <v>0</v>
      </c>
      <c r="Q76" s="20">
        <v>0</v>
      </c>
      <c r="R76" s="20">
        <v>0</v>
      </c>
      <c r="S76" s="20">
        <v>0</v>
      </c>
      <c r="T76" s="20">
        <v>0</v>
      </c>
      <c r="U76" s="20">
        <v>0</v>
      </c>
    </row>
    <row r="77" spans="1:21" x14ac:dyDescent="0.3">
      <c r="A77" s="19" t="s">
        <v>665</v>
      </c>
      <c r="B77" s="19">
        <v>17</v>
      </c>
      <c r="C77" s="19" t="s">
        <v>2</v>
      </c>
      <c r="D77" s="19" t="s">
        <v>183</v>
      </c>
      <c r="E77" s="19" t="s">
        <v>197</v>
      </c>
      <c r="F77" s="19" t="s">
        <v>311</v>
      </c>
      <c r="G77" s="19">
        <v>0</v>
      </c>
      <c r="H77" s="19">
        <v>1</v>
      </c>
      <c r="I77" s="19">
        <v>0</v>
      </c>
      <c r="J77" s="19">
        <v>0</v>
      </c>
      <c r="K77" s="19">
        <v>0</v>
      </c>
      <c r="L77" s="19">
        <v>1</v>
      </c>
      <c r="M77" s="19">
        <v>0</v>
      </c>
      <c r="N77" s="19">
        <v>0</v>
      </c>
      <c r="O77" s="19">
        <v>0</v>
      </c>
      <c r="P77" s="19">
        <v>0</v>
      </c>
      <c r="Q77" s="19">
        <v>0</v>
      </c>
      <c r="R77" s="19">
        <v>1</v>
      </c>
      <c r="S77" s="19">
        <v>0</v>
      </c>
      <c r="T77" s="19">
        <v>0</v>
      </c>
      <c r="U77" s="19">
        <v>0</v>
      </c>
    </row>
    <row r="78" spans="1:21" x14ac:dyDescent="0.3">
      <c r="A78" s="20" t="s">
        <v>666</v>
      </c>
      <c r="B78" s="20">
        <v>18</v>
      </c>
      <c r="C78" s="20" t="s">
        <v>2</v>
      </c>
      <c r="D78" s="20" t="s">
        <v>183</v>
      </c>
      <c r="E78" s="20" t="s">
        <v>197</v>
      </c>
      <c r="F78" s="20" t="s">
        <v>312</v>
      </c>
      <c r="G78" s="20">
        <v>1</v>
      </c>
      <c r="H78" s="20">
        <v>0</v>
      </c>
      <c r="I78" s="20">
        <v>0</v>
      </c>
      <c r="J78" s="20">
        <v>0</v>
      </c>
      <c r="K78" s="20">
        <v>0</v>
      </c>
      <c r="L78" s="20">
        <v>0</v>
      </c>
      <c r="M78" s="20">
        <v>0</v>
      </c>
      <c r="N78" s="20">
        <v>0</v>
      </c>
      <c r="O78" s="20">
        <v>0</v>
      </c>
      <c r="P78" s="20">
        <v>0</v>
      </c>
      <c r="Q78" s="20">
        <v>0</v>
      </c>
      <c r="R78" s="20">
        <v>0</v>
      </c>
      <c r="S78" s="20">
        <v>0</v>
      </c>
      <c r="T78" s="20">
        <v>0</v>
      </c>
      <c r="U78" s="20">
        <v>0</v>
      </c>
    </row>
    <row r="79" spans="1:21" x14ac:dyDescent="0.3">
      <c r="A79" s="19" t="s">
        <v>667</v>
      </c>
      <c r="B79" s="19">
        <v>19</v>
      </c>
      <c r="C79" s="19" t="s">
        <v>2</v>
      </c>
      <c r="D79" s="19" t="s">
        <v>183</v>
      </c>
      <c r="E79" s="19" t="s">
        <v>200</v>
      </c>
      <c r="F79" s="19" t="s">
        <v>313</v>
      </c>
      <c r="G79" s="19">
        <v>0</v>
      </c>
      <c r="H79" s="19">
        <v>1</v>
      </c>
      <c r="I79" s="19">
        <v>0</v>
      </c>
      <c r="J79" s="19">
        <v>0</v>
      </c>
      <c r="K79" s="19">
        <v>0</v>
      </c>
      <c r="L79" s="19">
        <v>0</v>
      </c>
      <c r="M79" s="19">
        <v>0</v>
      </c>
      <c r="N79" s="19">
        <v>0</v>
      </c>
      <c r="O79" s="19">
        <v>0</v>
      </c>
      <c r="P79" s="19">
        <v>0</v>
      </c>
      <c r="Q79" s="19">
        <v>0</v>
      </c>
      <c r="R79" s="19">
        <v>1</v>
      </c>
      <c r="S79" s="19">
        <v>1</v>
      </c>
      <c r="T79" s="19">
        <v>0</v>
      </c>
      <c r="U79" s="19">
        <v>0</v>
      </c>
    </row>
    <row r="80" spans="1:21" x14ac:dyDescent="0.3">
      <c r="A80" s="20" t="s">
        <v>668</v>
      </c>
      <c r="B80" s="20">
        <v>20</v>
      </c>
      <c r="C80" s="20" t="s">
        <v>2</v>
      </c>
      <c r="D80" s="20" t="s">
        <v>183</v>
      </c>
      <c r="E80" s="20" t="s">
        <v>200</v>
      </c>
      <c r="F80" s="20" t="s">
        <v>314</v>
      </c>
      <c r="G80" s="20">
        <v>1</v>
      </c>
      <c r="H80" s="20">
        <v>0</v>
      </c>
      <c r="I80" s="20">
        <v>0</v>
      </c>
      <c r="J80" s="20">
        <v>0</v>
      </c>
      <c r="K80" s="20">
        <v>0</v>
      </c>
      <c r="L80" s="20">
        <v>0</v>
      </c>
      <c r="M80" s="20">
        <v>0</v>
      </c>
      <c r="N80" s="20">
        <v>0</v>
      </c>
      <c r="O80" s="20">
        <v>0</v>
      </c>
      <c r="P80" s="20">
        <v>0</v>
      </c>
      <c r="Q80" s="20">
        <v>0</v>
      </c>
      <c r="R80" s="20">
        <v>0</v>
      </c>
      <c r="S80" s="20">
        <v>0</v>
      </c>
      <c r="T80" s="20">
        <v>0</v>
      </c>
      <c r="U80" s="20">
        <v>0</v>
      </c>
    </row>
    <row r="81" spans="1:21" x14ac:dyDescent="0.3">
      <c r="A81" s="19" t="s">
        <v>449</v>
      </c>
      <c r="B81" s="19">
        <v>21</v>
      </c>
      <c r="C81" s="19" t="s">
        <v>2</v>
      </c>
      <c r="D81" s="19" t="s">
        <v>183</v>
      </c>
      <c r="E81" s="19" t="s">
        <v>264</v>
      </c>
      <c r="F81" s="19" t="s">
        <v>315</v>
      </c>
      <c r="G81" s="19">
        <v>0</v>
      </c>
      <c r="H81" s="19">
        <v>1</v>
      </c>
      <c r="I81" s="19">
        <v>0</v>
      </c>
      <c r="J81" s="19">
        <v>0</v>
      </c>
      <c r="K81" s="19">
        <v>0</v>
      </c>
      <c r="L81" s="19">
        <v>1</v>
      </c>
      <c r="M81" s="19">
        <v>0</v>
      </c>
      <c r="N81" s="19">
        <v>0</v>
      </c>
      <c r="O81" s="19">
        <v>0</v>
      </c>
      <c r="P81" s="19">
        <v>0</v>
      </c>
      <c r="Q81" s="19">
        <v>0</v>
      </c>
      <c r="R81" s="19">
        <v>1</v>
      </c>
      <c r="S81" s="19">
        <v>1</v>
      </c>
      <c r="T81" s="19">
        <v>0</v>
      </c>
      <c r="U81" s="19">
        <v>0</v>
      </c>
    </row>
    <row r="82" spans="1:21" x14ac:dyDescent="0.3">
      <c r="A82" s="20" t="s">
        <v>450</v>
      </c>
      <c r="B82" s="20">
        <v>22</v>
      </c>
      <c r="C82" s="20" t="s">
        <v>2</v>
      </c>
      <c r="D82" s="20" t="s">
        <v>183</v>
      </c>
      <c r="E82" s="20" t="s">
        <v>203</v>
      </c>
      <c r="F82" s="20" t="s">
        <v>316</v>
      </c>
      <c r="G82" s="20">
        <v>0</v>
      </c>
      <c r="H82" s="20">
        <v>1</v>
      </c>
      <c r="I82" s="20">
        <v>0</v>
      </c>
      <c r="J82" s="20">
        <v>0</v>
      </c>
      <c r="K82" s="20">
        <v>0</v>
      </c>
      <c r="L82" s="20">
        <v>1</v>
      </c>
      <c r="M82" s="20">
        <v>0</v>
      </c>
      <c r="N82" s="20">
        <v>0</v>
      </c>
      <c r="O82" s="20">
        <v>0</v>
      </c>
      <c r="P82" s="20">
        <v>0</v>
      </c>
      <c r="Q82" s="20">
        <v>0</v>
      </c>
      <c r="R82" s="20">
        <v>1</v>
      </c>
      <c r="S82" s="20">
        <v>1</v>
      </c>
      <c r="T82" s="20">
        <v>0</v>
      </c>
      <c r="U82" s="20">
        <v>0</v>
      </c>
    </row>
    <row r="83" spans="1:21" x14ac:dyDescent="0.3">
      <c r="A83" s="19" t="s">
        <v>451</v>
      </c>
      <c r="B83" s="19">
        <v>23</v>
      </c>
      <c r="C83" s="19" t="s">
        <v>2</v>
      </c>
      <c r="D83" s="19" t="s">
        <v>183</v>
      </c>
      <c r="E83" s="19" t="s">
        <v>203</v>
      </c>
      <c r="F83" s="19" t="s">
        <v>317</v>
      </c>
      <c r="G83" s="19">
        <v>0</v>
      </c>
      <c r="H83" s="19">
        <v>1</v>
      </c>
      <c r="I83" s="19">
        <v>0</v>
      </c>
      <c r="J83" s="19">
        <v>0</v>
      </c>
      <c r="K83" s="19">
        <v>0</v>
      </c>
      <c r="L83" s="19">
        <v>1</v>
      </c>
      <c r="M83" s="19">
        <v>0</v>
      </c>
      <c r="N83" s="19">
        <v>0</v>
      </c>
      <c r="O83" s="19">
        <v>0</v>
      </c>
      <c r="P83" s="19">
        <v>0</v>
      </c>
      <c r="Q83" s="19">
        <v>0</v>
      </c>
      <c r="R83" s="19">
        <v>1</v>
      </c>
      <c r="S83" s="19">
        <v>1</v>
      </c>
      <c r="T83" s="19">
        <v>0</v>
      </c>
      <c r="U83" s="19">
        <v>0</v>
      </c>
    </row>
    <row r="84" spans="1:21" x14ac:dyDescent="0.3">
      <c r="A84" s="20" t="s">
        <v>452</v>
      </c>
      <c r="B84" s="20">
        <v>24</v>
      </c>
      <c r="C84" s="20" t="s">
        <v>2</v>
      </c>
      <c r="D84" s="20" t="s">
        <v>183</v>
      </c>
      <c r="E84" s="20" t="s">
        <v>203</v>
      </c>
      <c r="F84" s="20" t="s">
        <v>318</v>
      </c>
      <c r="G84" s="20">
        <v>0</v>
      </c>
      <c r="H84" s="20">
        <v>1</v>
      </c>
      <c r="I84" s="20">
        <v>0</v>
      </c>
      <c r="J84" s="20">
        <v>0</v>
      </c>
      <c r="K84" s="20">
        <v>0</v>
      </c>
      <c r="L84" s="20">
        <v>1</v>
      </c>
      <c r="M84" s="20">
        <v>0</v>
      </c>
      <c r="N84" s="20">
        <v>0</v>
      </c>
      <c r="O84" s="20">
        <v>0</v>
      </c>
      <c r="P84" s="20">
        <v>0</v>
      </c>
      <c r="Q84" s="20">
        <v>0</v>
      </c>
      <c r="R84" s="20">
        <v>1</v>
      </c>
      <c r="S84" s="20">
        <v>1</v>
      </c>
      <c r="T84" s="20">
        <v>0</v>
      </c>
      <c r="U84" s="20">
        <v>0</v>
      </c>
    </row>
    <row r="85" spans="1:21" x14ac:dyDescent="0.3">
      <c r="A85" s="19" t="s">
        <v>453</v>
      </c>
      <c r="B85" s="19">
        <v>25</v>
      </c>
      <c r="C85" s="19" t="s">
        <v>2</v>
      </c>
      <c r="D85" s="19" t="s">
        <v>183</v>
      </c>
      <c r="E85" s="19" t="s">
        <v>203</v>
      </c>
      <c r="F85" s="19" t="s">
        <v>319</v>
      </c>
      <c r="G85" s="19">
        <v>0</v>
      </c>
      <c r="H85" s="19">
        <v>1</v>
      </c>
      <c r="I85" s="19">
        <v>0</v>
      </c>
      <c r="J85" s="19">
        <v>0</v>
      </c>
      <c r="K85" s="19">
        <v>0</v>
      </c>
      <c r="L85" s="19">
        <v>0</v>
      </c>
      <c r="M85" s="19">
        <v>0</v>
      </c>
      <c r="N85" s="19">
        <v>0</v>
      </c>
      <c r="O85" s="19">
        <v>0</v>
      </c>
      <c r="P85" s="19">
        <v>0</v>
      </c>
      <c r="Q85" s="19">
        <v>0</v>
      </c>
      <c r="R85" s="19">
        <v>1</v>
      </c>
      <c r="S85" s="19">
        <v>1</v>
      </c>
      <c r="T85" s="19">
        <v>0</v>
      </c>
      <c r="U85" s="19">
        <v>0</v>
      </c>
    </row>
    <row r="86" spans="1:21" x14ac:dyDescent="0.3">
      <c r="A86" s="20" t="s">
        <v>454</v>
      </c>
      <c r="B86" s="20">
        <v>26</v>
      </c>
      <c r="C86" s="20" t="s">
        <v>2</v>
      </c>
      <c r="D86" s="20" t="s">
        <v>183</v>
      </c>
      <c r="E86" s="20" t="s">
        <v>203</v>
      </c>
      <c r="F86" s="20" t="s">
        <v>320</v>
      </c>
      <c r="G86" s="20">
        <v>0</v>
      </c>
      <c r="H86" s="20">
        <v>1</v>
      </c>
      <c r="I86" s="20">
        <v>0</v>
      </c>
      <c r="J86" s="20">
        <v>0</v>
      </c>
      <c r="K86" s="20">
        <v>0</v>
      </c>
      <c r="L86" s="20">
        <v>1</v>
      </c>
      <c r="M86" s="20">
        <v>0</v>
      </c>
      <c r="N86" s="20">
        <v>0</v>
      </c>
      <c r="O86" s="20">
        <v>0</v>
      </c>
      <c r="P86" s="20">
        <v>0</v>
      </c>
      <c r="Q86" s="20">
        <v>0</v>
      </c>
      <c r="R86" s="20">
        <v>1</v>
      </c>
      <c r="S86" s="20">
        <v>1</v>
      </c>
      <c r="T86" s="20">
        <v>0</v>
      </c>
      <c r="U86" s="20">
        <v>0</v>
      </c>
    </row>
    <row r="87" spans="1:21" x14ac:dyDescent="0.3">
      <c r="A87" s="19" t="s">
        <v>455</v>
      </c>
      <c r="B87" s="19">
        <v>27</v>
      </c>
      <c r="C87" s="19" t="s">
        <v>2</v>
      </c>
      <c r="D87" s="19" t="s">
        <v>183</v>
      </c>
      <c r="E87" s="19" t="s">
        <v>203</v>
      </c>
      <c r="F87" s="19" t="s">
        <v>321</v>
      </c>
      <c r="G87" s="19">
        <v>0</v>
      </c>
      <c r="H87" s="19">
        <v>1</v>
      </c>
      <c r="I87" s="19">
        <v>0</v>
      </c>
      <c r="J87" s="19">
        <v>0</v>
      </c>
      <c r="K87" s="19">
        <v>0</v>
      </c>
      <c r="L87" s="19">
        <v>1</v>
      </c>
      <c r="M87" s="19">
        <v>0</v>
      </c>
      <c r="N87" s="19">
        <v>0</v>
      </c>
      <c r="O87" s="19">
        <v>0</v>
      </c>
      <c r="P87" s="19">
        <v>0</v>
      </c>
      <c r="Q87" s="19">
        <v>0</v>
      </c>
      <c r="R87" s="19">
        <v>0</v>
      </c>
      <c r="S87" s="19">
        <v>0</v>
      </c>
      <c r="T87" s="19">
        <v>0</v>
      </c>
      <c r="U87" s="19">
        <v>0</v>
      </c>
    </row>
    <row r="88" spans="1:21" x14ac:dyDescent="0.3">
      <c r="A88" s="20" t="s">
        <v>456</v>
      </c>
      <c r="B88" s="20">
        <v>28</v>
      </c>
      <c r="C88" s="20" t="s">
        <v>2</v>
      </c>
      <c r="D88" s="20" t="s">
        <v>183</v>
      </c>
      <c r="E88" s="20" t="s">
        <v>207</v>
      </c>
      <c r="F88" s="20" t="s">
        <v>322</v>
      </c>
      <c r="G88" s="20">
        <v>0</v>
      </c>
      <c r="H88" s="20">
        <v>1</v>
      </c>
      <c r="I88" s="20">
        <v>0</v>
      </c>
      <c r="J88" s="20">
        <v>0</v>
      </c>
      <c r="K88" s="20">
        <v>0</v>
      </c>
      <c r="L88" s="20">
        <v>1</v>
      </c>
      <c r="M88" s="20">
        <v>0</v>
      </c>
      <c r="N88" s="20">
        <v>0</v>
      </c>
      <c r="O88" s="20">
        <v>0</v>
      </c>
      <c r="P88" s="20">
        <v>0</v>
      </c>
      <c r="Q88" s="20">
        <v>0</v>
      </c>
      <c r="R88" s="20">
        <v>1</v>
      </c>
      <c r="S88" s="20">
        <v>1</v>
      </c>
      <c r="T88" s="20">
        <v>0</v>
      </c>
      <c r="U88" s="20">
        <v>0</v>
      </c>
    </row>
    <row r="89" spans="1:21" x14ac:dyDescent="0.3">
      <c r="A89" s="19" t="s">
        <v>457</v>
      </c>
      <c r="B89" s="19">
        <v>29</v>
      </c>
      <c r="C89" s="19" t="s">
        <v>2</v>
      </c>
      <c r="D89" s="19" t="s">
        <v>183</v>
      </c>
      <c r="E89" s="19" t="s">
        <v>207</v>
      </c>
      <c r="F89" s="19" t="s">
        <v>323</v>
      </c>
      <c r="G89" s="19">
        <v>1</v>
      </c>
      <c r="H89" s="19">
        <v>0</v>
      </c>
      <c r="I89" s="19">
        <v>0</v>
      </c>
      <c r="J89" s="19">
        <v>0</v>
      </c>
      <c r="K89" s="19">
        <v>0</v>
      </c>
      <c r="L89" s="19">
        <v>0</v>
      </c>
      <c r="M89" s="19">
        <v>0</v>
      </c>
      <c r="N89" s="19">
        <v>0</v>
      </c>
      <c r="O89" s="19">
        <v>0</v>
      </c>
      <c r="P89" s="19">
        <v>0</v>
      </c>
      <c r="Q89" s="19">
        <v>0</v>
      </c>
      <c r="R89" s="19">
        <v>0</v>
      </c>
      <c r="S89" s="19">
        <v>0</v>
      </c>
      <c r="T89" s="19">
        <v>0</v>
      </c>
      <c r="U89" s="19">
        <v>0</v>
      </c>
    </row>
    <row r="90" spans="1:21" x14ac:dyDescent="0.3">
      <c r="A90" s="20" t="s">
        <v>458</v>
      </c>
      <c r="B90" s="20">
        <v>30</v>
      </c>
      <c r="C90" s="20" t="s">
        <v>2</v>
      </c>
      <c r="D90" s="20" t="s">
        <v>183</v>
      </c>
      <c r="E90" s="20" t="s">
        <v>207</v>
      </c>
      <c r="F90" s="20" t="s">
        <v>324</v>
      </c>
      <c r="G90" s="20">
        <v>1</v>
      </c>
      <c r="H90" s="20">
        <v>0</v>
      </c>
      <c r="I90" s="20">
        <v>0</v>
      </c>
      <c r="J90" s="20">
        <v>0</v>
      </c>
      <c r="K90" s="20">
        <v>0</v>
      </c>
      <c r="L90" s="20">
        <v>1</v>
      </c>
      <c r="M90" s="20">
        <v>0</v>
      </c>
      <c r="N90" s="20">
        <v>0</v>
      </c>
      <c r="O90" s="20">
        <v>0</v>
      </c>
      <c r="P90" s="20">
        <v>0</v>
      </c>
      <c r="Q90" s="20">
        <v>0</v>
      </c>
      <c r="R90" s="20">
        <v>0</v>
      </c>
      <c r="S90" s="20">
        <v>0</v>
      </c>
      <c r="T90" s="20">
        <v>0</v>
      </c>
      <c r="U90" s="20">
        <v>0</v>
      </c>
    </row>
    <row r="91" spans="1:21" x14ac:dyDescent="0.3">
      <c r="A91" s="19" t="s">
        <v>459</v>
      </c>
      <c r="B91" s="19">
        <v>31</v>
      </c>
      <c r="C91" s="19" t="s">
        <v>2</v>
      </c>
      <c r="D91" s="19" t="s">
        <v>183</v>
      </c>
      <c r="E91" s="19" t="s">
        <v>207</v>
      </c>
      <c r="F91" s="19" t="s">
        <v>325</v>
      </c>
      <c r="G91" s="19">
        <v>0</v>
      </c>
      <c r="H91" s="19">
        <v>1</v>
      </c>
      <c r="I91" s="19">
        <v>0</v>
      </c>
      <c r="J91" s="19">
        <v>0</v>
      </c>
      <c r="K91" s="19">
        <v>0</v>
      </c>
      <c r="L91" s="19">
        <v>1</v>
      </c>
      <c r="M91" s="19">
        <v>0</v>
      </c>
      <c r="N91" s="19">
        <v>0</v>
      </c>
      <c r="O91" s="19">
        <v>0</v>
      </c>
      <c r="P91" s="19">
        <v>0</v>
      </c>
      <c r="Q91" s="19">
        <v>0</v>
      </c>
      <c r="R91" s="19">
        <v>1</v>
      </c>
      <c r="S91" s="19">
        <v>1</v>
      </c>
      <c r="T91" s="19">
        <v>0</v>
      </c>
      <c r="U91" s="19">
        <v>0</v>
      </c>
    </row>
    <row r="92" spans="1:21" x14ac:dyDescent="0.3">
      <c r="A92" s="20" t="s">
        <v>460</v>
      </c>
      <c r="B92" s="20">
        <v>32</v>
      </c>
      <c r="C92" s="20" t="s">
        <v>2</v>
      </c>
      <c r="D92" s="20" t="s">
        <v>183</v>
      </c>
      <c r="E92" s="20" t="s">
        <v>207</v>
      </c>
      <c r="F92" s="20" t="s">
        <v>326</v>
      </c>
      <c r="G92" s="20">
        <v>1</v>
      </c>
      <c r="H92" s="20">
        <v>0</v>
      </c>
      <c r="I92" s="20">
        <v>0</v>
      </c>
      <c r="J92" s="20">
        <v>0</v>
      </c>
      <c r="K92" s="20">
        <v>0</v>
      </c>
      <c r="L92" s="20">
        <v>0</v>
      </c>
      <c r="M92" s="20">
        <v>0</v>
      </c>
      <c r="N92" s="20">
        <v>0</v>
      </c>
      <c r="O92" s="20">
        <v>0</v>
      </c>
      <c r="P92" s="20">
        <v>0</v>
      </c>
      <c r="Q92" s="20">
        <v>0</v>
      </c>
      <c r="R92" s="20">
        <v>0</v>
      </c>
      <c r="S92" s="20">
        <v>0</v>
      </c>
      <c r="T92" s="20">
        <v>0</v>
      </c>
      <c r="U92" s="20">
        <v>0</v>
      </c>
    </row>
    <row r="93" spans="1:21" x14ac:dyDescent="0.3">
      <c r="A93" s="19" t="s">
        <v>461</v>
      </c>
      <c r="B93" s="19">
        <v>33</v>
      </c>
      <c r="C93" s="19" t="s">
        <v>2</v>
      </c>
      <c r="D93" s="19" t="s">
        <v>183</v>
      </c>
      <c r="E93" s="19" t="s">
        <v>207</v>
      </c>
      <c r="F93" s="19" t="s">
        <v>327</v>
      </c>
      <c r="G93" s="19">
        <v>1</v>
      </c>
      <c r="H93" s="19">
        <v>0</v>
      </c>
      <c r="I93" s="19">
        <v>0</v>
      </c>
      <c r="J93" s="19">
        <v>0</v>
      </c>
      <c r="K93" s="19">
        <v>0</v>
      </c>
      <c r="L93" s="19">
        <v>0</v>
      </c>
      <c r="M93" s="19">
        <v>0</v>
      </c>
      <c r="N93" s="19">
        <v>0</v>
      </c>
      <c r="O93" s="19">
        <v>0</v>
      </c>
      <c r="P93" s="19">
        <v>0</v>
      </c>
      <c r="Q93" s="19">
        <v>0</v>
      </c>
      <c r="R93" s="19">
        <v>0</v>
      </c>
      <c r="S93" s="19">
        <v>0</v>
      </c>
      <c r="T93" s="19">
        <v>0</v>
      </c>
      <c r="U93" s="19">
        <v>0</v>
      </c>
    </row>
    <row r="94" spans="1:21" x14ac:dyDescent="0.3">
      <c r="A94" s="20" t="s">
        <v>462</v>
      </c>
      <c r="B94" s="20">
        <v>34</v>
      </c>
      <c r="C94" s="20" t="s">
        <v>2</v>
      </c>
      <c r="D94" s="20" t="s">
        <v>183</v>
      </c>
      <c r="E94" s="20" t="s">
        <v>212</v>
      </c>
      <c r="F94" s="20" t="s">
        <v>328</v>
      </c>
      <c r="G94" s="20">
        <v>0</v>
      </c>
      <c r="H94" s="20">
        <v>1</v>
      </c>
      <c r="I94" s="20">
        <v>0</v>
      </c>
      <c r="J94" s="20">
        <v>0</v>
      </c>
      <c r="K94" s="20">
        <v>0</v>
      </c>
      <c r="L94" s="20">
        <v>1</v>
      </c>
      <c r="M94" s="20">
        <v>0</v>
      </c>
      <c r="N94" s="20">
        <v>0</v>
      </c>
      <c r="O94" s="20">
        <v>0</v>
      </c>
      <c r="P94" s="20">
        <v>0</v>
      </c>
      <c r="Q94" s="20">
        <v>0</v>
      </c>
      <c r="R94" s="20">
        <v>1</v>
      </c>
      <c r="S94" s="20">
        <v>1</v>
      </c>
      <c r="T94" s="20">
        <v>0</v>
      </c>
      <c r="U94" s="20">
        <v>0</v>
      </c>
    </row>
    <row r="95" spans="1:21" x14ac:dyDescent="0.3">
      <c r="A95" s="19" t="s">
        <v>463</v>
      </c>
      <c r="B95" s="19">
        <v>35</v>
      </c>
      <c r="C95" s="19" t="s">
        <v>2</v>
      </c>
      <c r="D95" s="19" t="s">
        <v>183</v>
      </c>
      <c r="E95" s="19" t="s">
        <v>212</v>
      </c>
      <c r="F95" s="19" t="s">
        <v>329</v>
      </c>
      <c r="G95" s="19">
        <v>0</v>
      </c>
      <c r="H95" s="19">
        <v>1</v>
      </c>
      <c r="I95" s="19">
        <v>0</v>
      </c>
      <c r="J95" s="19">
        <v>0</v>
      </c>
      <c r="K95" s="19">
        <v>0</v>
      </c>
      <c r="L95" s="19">
        <v>0</v>
      </c>
      <c r="M95" s="19">
        <v>0</v>
      </c>
      <c r="N95" s="19">
        <v>0</v>
      </c>
      <c r="O95" s="19">
        <v>0</v>
      </c>
      <c r="P95" s="19">
        <v>0</v>
      </c>
      <c r="Q95" s="19">
        <v>0</v>
      </c>
      <c r="R95" s="19">
        <v>1</v>
      </c>
      <c r="S95" s="19">
        <v>1</v>
      </c>
      <c r="T95" s="19">
        <v>0</v>
      </c>
      <c r="U95" s="19">
        <v>0</v>
      </c>
    </row>
    <row r="96" spans="1:21" x14ac:dyDescent="0.3">
      <c r="A96" s="20" t="s">
        <v>464</v>
      </c>
      <c r="B96" s="20">
        <v>36</v>
      </c>
      <c r="C96" s="20" t="s">
        <v>2</v>
      </c>
      <c r="D96" s="20" t="s">
        <v>183</v>
      </c>
      <c r="E96" s="20" t="s">
        <v>216</v>
      </c>
      <c r="F96" s="20" t="s">
        <v>330</v>
      </c>
      <c r="G96" s="20">
        <v>0</v>
      </c>
      <c r="H96" s="20">
        <v>1</v>
      </c>
      <c r="I96" s="20">
        <v>0</v>
      </c>
      <c r="J96" s="20">
        <v>0</v>
      </c>
      <c r="K96" s="20">
        <v>0</v>
      </c>
      <c r="L96" s="20">
        <v>1</v>
      </c>
      <c r="M96" s="20">
        <v>0</v>
      </c>
      <c r="N96" s="20">
        <v>0</v>
      </c>
      <c r="O96" s="20">
        <v>0</v>
      </c>
      <c r="P96" s="20">
        <v>0</v>
      </c>
      <c r="Q96" s="20">
        <v>0</v>
      </c>
      <c r="R96" s="20">
        <v>1</v>
      </c>
      <c r="S96" s="20">
        <v>1</v>
      </c>
      <c r="T96" s="20">
        <v>0</v>
      </c>
      <c r="U96" s="20">
        <v>0</v>
      </c>
    </row>
    <row r="97" spans="1:21" x14ac:dyDescent="0.3">
      <c r="A97" s="19" t="s">
        <v>669</v>
      </c>
      <c r="B97" s="19">
        <v>37</v>
      </c>
      <c r="C97" s="19" t="s">
        <v>2</v>
      </c>
      <c r="D97" s="19" t="s">
        <v>220</v>
      </c>
      <c r="E97" s="19" t="s">
        <v>184</v>
      </c>
      <c r="F97" s="19" t="s">
        <v>331</v>
      </c>
      <c r="G97" s="19">
        <v>1</v>
      </c>
      <c r="H97" s="19">
        <v>0</v>
      </c>
      <c r="I97" s="19">
        <v>0</v>
      </c>
      <c r="J97" s="19">
        <v>0</v>
      </c>
      <c r="K97" s="19">
        <v>0</v>
      </c>
      <c r="L97" s="19">
        <v>0</v>
      </c>
      <c r="M97" s="19">
        <v>0</v>
      </c>
      <c r="N97" s="19">
        <v>0</v>
      </c>
      <c r="O97" s="19">
        <v>0</v>
      </c>
      <c r="P97" s="19">
        <v>0</v>
      </c>
      <c r="Q97" s="19">
        <v>0</v>
      </c>
      <c r="R97" s="19">
        <v>0</v>
      </c>
      <c r="S97" s="19">
        <v>0</v>
      </c>
      <c r="T97" s="19">
        <v>0</v>
      </c>
      <c r="U97" s="19">
        <v>0</v>
      </c>
    </row>
    <row r="98" spans="1:21" x14ac:dyDescent="0.3">
      <c r="A98" s="20" t="s">
        <v>670</v>
      </c>
      <c r="B98" s="20">
        <v>38</v>
      </c>
      <c r="C98" s="20" t="s">
        <v>2</v>
      </c>
      <c r="D98" s="20" t="s">
        <v>220</v>
      </c>
      <c r="E98" s="20" t="s">
        <v>184</v>
      </c>
      <c r="F98" s="20" t="s">
        <v>332</v>
      </c>
      <c r="G98" s="20">
        <v>1</v>
      </c>
      <c r="H98" s="20">
        <v>0</v>
      </c>
      <c r="I98" s="20">
        <v>0</v>
      </c>
      <c r="J98" s="20">
        <v>0</v>
      </c>
      <c r="K98" s="20">
        <v>0</v>
      </c>
      <c r="L98" s="20">
        <v>0</v>
      </c>
      <c r="M98" s="20">
        <v>0</v>
      </c>
      <c r="N98" s="20">
        <v>0</v>
      </c>
      <c r="O98" s="20">
        <v>0</v>
      </c>
      <c r="P98" s="20">
        <v>0</v>
      </c>
      <c r="Q98" s="20">
        <v>0</v>
      </c>
      <c r="R98" s="20">
        <v>0</v>
      </c>
      <c r="S98" s="20">
        <v>0</v>
      </c>
      <c r="T98" s="20">
        <v>0</v>
      </c>
      <c r="U98" s="20">
        <v>0</v>
      </c>
    </row>
    <row r="99" spans="1:21" x14ac:dyDescent="0.3">
      <c r="A99" s="19" t="s">
        <v>671</v>
      </c>
      <c r="B99" s="19">
        <v>39</v>
      </c>
      <c r="C99" s="19" t="s">
        <v>2</v>
      </c>
      <c r="D99" s="19" t="s">
        <v>220</v>
      </c>
      <c r="E99" s="19" t="s">
        <v>184</v>
      </c>
      <c r="F99" s="19" t="s">
        <v>333</v>
      </c>
      <c r="G99" s="19">
        <v>1</v>
      </c>
      <c r="H99" s="19">
        <v>0</v>
      </c>
      <c r="I99" s="19">
        <v>0</v>
      </c>
      <c r="J99" s="19">
        <v>0</v>
      </c>
      <c r="K99" s="19">
        <v>0</v>
      </c>
      <c r="L99" s="19">
        <v>0</v>
      </c>
      <c r="M99" s="19">
        <v>0</v>
      </c>
      <c r="N99" s="19">
        <v>0</v>
      </c>
      <c r="O99" s="19">
        <v>0</v>
      </c>
      <c r="P99" s="19">
        <v>0</v>
      </c>
      <c r="Q99" s="19">
        <v>0</v>
      </c>
      <c r="R99" s="19">
        <v>0</v>
      </c>
      <c r="S99" s="19">
        <v>0</v>
      </c>
      <c r="T99" s="19">
        <v>0</v>
      </c>
      <c r="U99" s="19">
        <v>0</v>
      </c>
    </row>
    <row r="100" spans="1:21" x14ac:dyDescent="0.3">
      <c r="A100" s="20" t="s">
        <v>672</v>
      </c>
      <c r="B100" s="20">
        <v>40</v>
      </c>
      <c r="C100" s="20" t="s">
        <v>2</v>
      </c>
      <c r="D100" s="20" t="s">
        <v>220</v>
      </c>
      <c r="E100" s="20" t="s">
        <v>184</v>
      </c>
      <c r="F100" s="20" t="s">
        <v>334</v>
      </c>
      <c r="G100" s="20">
        <v>0</v>
      </c>
      <c r="H100" s="20">
        <v>0</v>
      </c>
      <c r="I100" s="20">
        <v>0</v>
      </c>
      <c r="J100" s="20">
        <v>0</v>
      </c>
      <c r="K100" s="20">
        <v>0</v>
      </c>
      <c r="L100" s="20">
        <v>1</v>
      </c>
      <c r="M100" s="20">
        <v>0</v>
      </c>
      <c r="N100" s="20">
        <v>0</v>
      </c>
      <c r="O100" s="20">
        <v>0</v>
      </c>
      <c r="P100" s="20">
        <v>0</v>
      </c>
      <c r="Q100" s="20">
        <v>0</v>
      </c>
      <c r="R100" s="20">
        <v>1</v>
      </c>
      <c r="S100" s="20">
        <v>1</v>
      </c>
      <c r="T100" s="20">
        <v>0</v>
      </c>
      <c r="U100" s="20">
        <v>0</v>
      </c>
    </row>
    <row r="101" spans="1:21" x14ac:dyDescent="0.3">
      <c r="A101" s="19" t="s">
        <v>673</v>
      </c>
      <c r="B101" s="19">
        <v>41</v>
      </c>
      <c r="C101" s="19" t="s">
        <v>2</v>
      </c>
      <c r="D101" s="19" t="s">
        <v>220</v>
      </c>
      <c r="E101" s="19" t="s">
        <v>184</v>
      </c>
      <c r="F101" s="19" t="s">
        <v>335</v>
      </c>
      <c r="G101" s="19">
        <v>0</v>
      </c>
      <c r="H101" s="19">
        <v>1</v>
      </c>
      <c r="I101" s="19">
        <v>0</v>
      </c>
      <c r="J101" s="19">
        <v>0</v>
      </c>
      <c r="K101" s="19">
        <v>0</v>
      </c>
      <c r="L101" s="19">
        <v>0</v>
      </c>
      <c r="M101" s="19">
        <v>0</v>
      </c>
      <c r="N101" s="19">
        <v>0</v>
      </c>
      <c r="O101" s="19">
        <v>0</v>
      </c>
      <c r="P101" s="19">
        <v>0</v>
      </c>
      <c r="Q101" s="19">
        <v>0</v>
      </c>
      <c r="R101" s="19">
        <v>1</v>
      </c>
      <c r="S101" s="19">
        <v>1</v>
      </c>
      <c r="T101" s="19">
        <v>0</v>
      </c>
      <c r="U101" s="19">
        <v>0</v>
      </c>
    </row>
    <row r="102" spans="1:21" x14ac:dyDescent="0.3">
      <c r="A102" s="20" t="s">
        <v>674</v>
      </c>
      <c r="B102" s="20">
        <v>42</v>
      </c>
      <c r="C102" s="20" t="s">
        <v>2</v>
      </c>
      <c r="D102" s="20" t="s">
        <v>220</v>
      </c>
      <c r="E102" s="20" t="s">
        <v>184</v>
      </c>
      <c r="F102" s="20" t="s">
        <v>336</v>
      </c>
      <c r="G102" s="20">
        <v>1</v>
      </c>
      <c r="H102" s="20">
        <v>0</v>
      </c>
      <c r="I102" s="20">
        <v>0</v>
      </c>
      <c r="J102" s="20">
        <v>0</v>
      </c>
      <c r="K102" s="20">
        <v>0</v>
      </c>
      <c r="L102" s="20">
        <v>0</v>
      </c>
      <c r="M102" s="20">
        <v>0</v>
      </c>
      <c r="N102" s="20">
        <v>0</v>
      </c>
      <c r="O102" s="20">
        <v>0</v>
      </c>
      <c r="P102" s="20">
        <v>0</v>
      </c>
      <c r="Q102" s="20">
        <v>0</v>
      </c>
      <c r="R102" s="20">
        <v>0</v>
      </c>
      <c r="S102" s="20">
        <v>0</v>
      </c>
      <c r="T102" s="20">
        <v>0</v>
      </c>
      <c r="U102" s="20">
        <v>0</v>
      </c>
    </row>
    <row r="103" spans="1:21" x14ac:dyDescent="0.3">
      <c r="A103" s="19" t="s">
        <v>675</v>
      </c>
      <c r="B103" s="19">
        <v>43</v>
      </c>
      <c r="C103" s="19" t="s">
        <v>2</v>
      </c>
      <c r="D103" s="19" t="s">
        <v>220</v>
      </c>
      <c r="E103" s="19" t="s">
        <v>184</v>
      </c>
      <c r="F103" s="19" t="s">
        <v>337</v>
      </c>
      <c r="G103" s="19">
        <v>1</v>
      </c>
      <c r="H103" s="19">
        <v>0</v>
      </c>
      <c r="I103" s="19">
        <v>0</v>
      </c>
      <c r="J103" s="19">
        <v>0</v>
      </c>
      <c r="K103" s="19">
        <v>0</v>
      </c>
      <c r="L103" s="19">
        <v>1</v>
      </c>
      <c r="M103" s="19">
        <v>0</v>
      </c>
      <c r="N103" s="19">
        <v>0</v>
      </c>
      <c r="O103" s="19">
        <v>0</v>
      </c>
      <c r="P103" s="19">
        <v>0</v>
      </c>
      <c r="Q103" s="19">
        <v>0</v>
      </c>
      <c r="R103" s="19">
        <v>1</v>
      </c>
      <c r="S103" s="19">
        <v>1</v>
      </c>
      <c r="T103" s="19">
        <v>0</v>
      </c>
      <c r="U103" s="19">
        <v>0</v>
      </c>
    </row>
    <row r="104" spans="1:21" x14ac:dyDescent="0.3">
      <c r="A104" s="20" t="s">
        <v>676</v>
      </c>
      <c r="B104" s="20">
        <v>44</v>
      </c>
      <c r="C104" s="20" t="s">
        <v>2</v>
      </c>
      <c r="D104" s="20" t="s">
        <v>220</v>
      </c>
      <c r="E104" s="20" t="s">
        <v>184</v>
      </c>
      <c r="F104" s="20" t="s">
        <v>338</v>
      </c>
      <c r="G104" s="20">
        <v>0</v>
      </c>
      <c r="H104" s="20">
        <v>1</v>
      </c>
      <c r="I104" s="20">
        <v>0</v>
      </c>
      <c r="J104" s="20">
        <v>0</v>
      </c>
      <c r="K104" s="20">
        <v>0</v>
      </c>
      <c r="L104" s="20">
        <v>1</v>
      </c>
      <c r="M104" s="20">
        <v>0</v>
      </c>
      <c r="N104" s="20">
        <v>0</v>
      </c>
      <c r="O104" s="20">
        <v>0</v>
      </c>
      <c r="P104" s="20">
        <v>0</v>
      </c>
      <c r="Q104" s="20">
        <v>0</v>
      </c>
      <c r="R104" s="20">
        <v>1</v>
      </c>
      <c r="S104" s="20">
        <v>1</v>
      </c>
      <c r="T104" s="20">
        <v>0</v>
      </c>
      <c r="U104" s="20">
        <v>0</v>
      </c>
    </row>
    <row r="105" spans="1:21" x14ac:dyDescent="0.3">
      <c r="A105" s="19" t="s">
        <v>677</v>
      </c>
      <c r="B105" s="19">
        <v>45</v>
      </c>
      <c r="C105" s="19" t="s">
        <v>2</v>
      </c>
      <c r="D105" s="19" t="s">
        <v>220</v>
      </c>
      <c r="E105" s="19" t="s">
        <v>184</v>
      </c>
      <c r="F105" s="19" t="s">
        <v>339</v>
      </c>
      <c r="G105" s="19">
        <v>0</v>
      </c>
      <c r="H105" s="19">
        <v>0</v>
      </c>
      <c r="I105" s="19">
        <v>0</v>
      </c>
      <c r="J105" s="19">
        <v>0</v>
      </c>
      <c r="K105" s="19">
        <v>0</v>
      </c>
      <c r="L105" s="19">
        <v>1</v>
      </c>
      <c r="M105" s="19">
        <v>0</v>
      </c>
      <c r="N105" s="19">
        <v>0</v>
      </c>
      <c r="O105" s="19">
        <v>0</v>
      </c>
      <c r="P105" s="19">
        <v>0</v>
      </c>
      <c r="Q105" s="19">
        <v>0</v>
      </c>
      <c r="R105" s="19">
        <v>1</v>
      </c>
      <c r="S105" s="19">
        <v>1</v>
      </c>
      <c r="T105" s="19">
        <v>0</v>
      </c>
      <c r="U105" s="19">
        <v>0</v>
      </c>
    </row>
    <row r="106" spans="1:21" x14ac:dyDescent="0.3">
      <c r="A106" s="20" t="s">
        <v>678</v>
      </c>
      <c r="B106" s="20">
        <v>46</v>
      </c>
      <c r="C106" s="20" t="s">
        <v>2</v>
      </c>
      <c r="D106" s="20" t="s">
        <v>220</v>
      </c>
      <c r="E106" s="20" t="s">
        <v>184</v>
      </c>
      <c r="F106" s="20" t="s">
        <v>340</v>
      </c>
      <c r="G106" s="20">
        <v>1</v>
      </c>
      <c r="H106" s="20">
        <v>0</v>
      </c>
      <c r="I106" s="20">
        <v>0</v>
      </c>
      <c r="J106" s="20">
        <v>0</v>
      </c>
      <c r="K106" s="20">
        <v>0</v>
      </c>
      <c r="L106" s="20">
        <v>0</v>
      </c>
      <c r="M106" s="20">
        <v>0</v>
      </c>
      <c r="N106" s="20">
        <v>0</v>
      </c>
      <c r="O106" s="20">
        <v>0</v>
      </c>
      <c r="P106" s="20">
        <v>0</v>
      </c>
      <c r="Q106" s="20">
        <v>0</v>
      </c>
      <c r="R106" s="20">
        <v>0</v>
      </c>
      <c r="S106" s="20">
        <v>0</v>
      </c>
      <c r="T106" s="20">
        <v>0</v>
      </c>
      <c r="U106" s="20">
        <v>0</v>
      </c>
    </row>
    <row r="107" spans="1:21" x14ac:dyDescent="0.3">
      <c r="A107" s="19" t="s">
        <v>679</v>
      </c>
      <c r="B107" s="19">
        <v>47</v>
      </c>
      <c r="C107" s="19" t="s">
        <v>2</v>
      </c>
      <c r="D107" s="19" t="s">
        <v>220</v>
      </c>
      <c r="E107" s="19" t="s">
        <v>184</v>
      </c>
      <c r="F107" s="19" t="s">
        <v>341</v>
      </c>
      <c r="G107" s="19">
        <v>1</v>
      </c>
      <c r="H107" s="19">
        <v>0</v>
      </c>
      <c r="I107" s="19">
        <v>0</v>
      </c>
      <c r="J107" s="19">
        <v>0</v>
      </c>
      <c r="K107" s="19">
        <v>0</v>
      </c>
      <c r="L107" s="19">
        <v>0</v>
      </c>
      <c r="M107" s="19">
        <v>0</v>
      </c>
      <c r="N107" s="19">
        <v>0</v>
      </c>
      <c r="O107" s="19">
        <v>0</v>
      </c>
      <c r="P107" s="19">
        <v>0</v>
      </c>
      <c r="Q107" s="19">
        <v>0</v>
      </c>
      <c r="R107" s="19">
        <v>0</v>
      </c>
      <c r="S107" s="19">
        <v>0</v>
      </c>
      <c r="T107" s="19">
        <v>0</v>
      </c>
      <c r="U107" s="19">
        <v>0</v>
      </c>
    </row>
    <row r="108" spans="1:21" x14ac:dyDescent="0.3">
      <c r="A108" s="20" t="s">
        <v>680</v>
      </c>
      <c r="B108" s="20">
        <v>48</v>
      </c>
      <c r="C108" s="20" t="s">
        <v>2</v>
      </c>
      <c r="D108" s="20" t="s">
        <v>220</v>
      </c>
      <c r="E108" s="20" t="s">
        <v>184</v>
      </c>
      <c r="F108" s="20" t="s">
        <v>342</v>
      </c>
      <c r="G108" s="20">
        <v>0</v>
      </c>
      <c r="H108" s="20">
        <v>0</v>
      </c>
      <c r="I108" s="20">
        <v>0</v>
      </c>
      <c r="J108" s="20">
        <v>1</v>
      </c>
      <c r="K108" s="20">
        <v>0</v>
      </c>
      <c r="L108" s="20">
        <v>0</v>
      </c>
      <c r="M108" s="20">
        <v>0</v>
      </c>
      <c r="N108" s="20">
        <v>0</v>
      </c>
      <c r="O108" s="20">
        <v>0</v>
      </c>
      <c r="P108" s="20">
        <v>1</v>
      </c>
      <c r="Q108" s="20">
        <v>0</v>
      </c>
      <c r="R108" s="20">
        <v>0</v>
      </c>
      <c r="S108" s="20">
        <v>1</v>
      </c>
      <c r="T108" s="20">
        <v>0</v>
      </c>
      <c r="U108" s="20">
        <v>0</v>
      </c>
    </row>
    <row r="109" spans="1:21" x14ac:dyDescent="0.3">
      <c r="A109" s="19" t="s">
        <v>681</v>
      </c>
      <c r="B109" s="19">
        <v>49</v>
      </c>
      <c r="C109" s="19" t="s">
        <v>2</v>
      </c>
      <c r="D109" s="19" t="s">
        <v>220</v>
      </c>
      <c r="E109" s="19" t="s">
        <v>184</v>
      </c>
      <c r="F109" s="19" t="s">
        <v>343</v>
      </c>
      <c r="G109" s="19">
        <v>0</v>
      </c>
      <c r="H109" s="19">
        <v>1</v>
      </c>
      <c r="I109" s="19">
        <v>0</v>
      </c>
      <c r="J109" s="19">
        <v>0</v>
      </c>
      <c r="K109" s="19">
        <v>0</v>
      </c>
      <c r="L109" s="19">
        <v>0</v>
      </c>
      <c r="M109" s="19">
        <v>0</v>
      </c>
      <c r="N109" s="19">
        <v>0</v>
      </c>
      <c r="O109" s="19">
        <v>0</v>
      </c>
      <c r="P109" s="19">
        <v>1</v>
      </c>
      <c r="Q109" s="19">
        <v>0</v>
      </c>
      <c r="R109" s="19">
        <v>0</v>
      </c>
      <c r="S109" s="19">
        <v>0</v>
      </c>
      <c r="T109" s="19">
        <v>0</v>
      </c>
      <c r="U109" s="19">
        <v>0</v>
      </c>
    </row>
    <row r="110" spans="1:21" x14ac:dyDescent="0.3">
      <c r="A110" s="20" t="s">
        <v>682</v>
      </c>
      <c r="B110" s="20">
        <v>50</v>
      </c>
      <c r="C110" s="20" t="s">
        <v>2</v>
      </c>
      <c r="D110" s="20" t="s">
        <v>220</v>
      </c>
      <c r="E110" s="20" t="s">
        <v>184</v>
      </c>
      <c r="F110" s="20" t="s">
        <v>344</v>
      </c>
      <c r="G110" s="20">
        <v>0</v>
      </c>
      <c r="H110" s="20">
        <v>0</v>
      </c>
      <c r="I110" s="20">
        <v>0</v>
      </c>
      <c r="J110" s="20">
        <v>0</v>
      </c>
      <c r="K110" s="20">
        <v>0</v>
      </c>
      <c r="L110" s="20">
        <v>1</v>
      </c>
      <c r="M110" s="20">
        <v>0</v>
      </c>
      <c r="N110" s="20">
        <v>0</v>
      </c>
      <c r="O110" s="20">
        <v>0</v>
      </c>
      <c r="P110" s="20">
        <v>0</v>
      </c>
      <c r="Q110" s="20">
        <v>0</v>
      </c>
      <c r="R110" s="20">
        <v>1</v>
      </c>
      <c r="S110" s="20">
        <v>1</v>
      </c>
      <c r="T110" s="20">
        <v>0</v>
      </c>
      <c r="U110" s="20">
        <v>0</v>
      </c>
    </row>
    <row r="111" spans="1:21" x14ac:dyDescent="0.3">
      <c r="A111" s="19" t="s">
        <v>683</v>
      </c>
      <c r="B111" s="19">
        <v>51</v>
      </c>
      <c r="C111" s="19" t="s">
        <v>2</v>
      </c>
      <c r="D111" s="19" t="s">
        <v>220</v>
      </c>
      <c r="E111" s="19" t="s">
        <v>184</v>
      </c>
      <c r="F111" s="19" t="s">
        <v>345</v>
      </c>
      <c r="G111" s="19">
        <v>1</v>
      </c>
      <c r="H111" s="19">
        <v>0</v>
      </c>
      <c r="I111" s="19">
        <v>0</v>
      </c>
      <c r="J111" s="19">
        <v>0</v>
      </c>
      <c r="K111" s="19">
        <v>0</v>
      </c>
      <c r="L111" s="19">
        <v>0</v>
      </c>
      <c r="M111" s="19">
        <v>0</v>
      </c>
      <c r="N111" s="19">
        <v>0</v>
      </c>
      <c r="O111" s="19">
        <v>0</v>
      </c>
      <c r="P111" s="19">
        <v>0</v>
      </c>
      <c r="Q111" s="19">
        <v>0</v>
      </c>
      <c r="R111" s="19">
        <v>0</v>
      </c>
      <c r="S111" s="19">
        <v>0</v>
      </c>
      <c r="T111" s="19">
        <v>0</v>
      </c>
      <c r="U111" s="19">
        <v>0</v>
      </c>
    </row>
    <row r="112" spans="1:21" x14ac:dyDescent="0.3">
      <c r="A112" s="20" t="s">
        <v>684</v>
      </c>
      <c r="B112" s="20">
        <v>52</v>
      </c>
      <c r="C112" s="20" t="s">
        <v>2</v>
      </c>
      <c r="D112" s="20" t="s">
        <v>220</v>
      </c>
      <c r="E112" s="20" t="s">
        <v>184</v>
      </c>
      <c r="F112" s="20" t="s">
        <v>346</v>
      </c>
      <c r="G112" s="20">
        <v>1</v>
      </c>
      <c r="H112" s="20">
        <v>0</v>
      </c>
      <c r="I112" s="20">
        <v>0</v>
      </c>
      <c r="J112" s="20">
        <v>0</v>
      </c>
      <c r="K112" s="20">
        <v>0</v>
      </c>
      <c r="L112" s="20">
        <v>0</v>
      </c>
      <c r="M112" s="20">
        <v>0</v>
      </c>
      <c r="N112" s="20">
        <v>0</v>
      </c>
      <c r="O112" s="20">
        <v>0</v>
      </c>
      <c r="P112" s="20">
        <v>0</v>
      </c>
      <c r="Q112" s="20">
        <v>0</v>
      </c>
      <c r="R112" s="20">
        <v>0</v>
      </c>
      <c r="S112" s="20">
        <v>0</v>
      </c>
      <c r="T112" s="20">
        <v>0</v>
      </c>
      <c r="U112" s="20">
        <v>0</v>
      </c>
    </row>
    <row r="113" spans="1:21" x14ac:dyDescent="0.3">
      <c r="A113" s="19" t="s">
        <v>685</v>
      </c>
      <c r="B113" s="19">
        <v>53</v>
      </c>
      <c r="C113" s="19" t="s">
        <v>2</v>
      </c>
      <c r="D113" s="19" t="s">
        <v>220</v>
      </c>
      <c r="E113" s="19" t="s">
        <v>184</v>
      </c>
      <c r="F113" s="19" t="s">
        <v>347</v>
      </c>
      <c r="G113" s="19">
        <v>1</v>
      </c>
      <c r="H113" s="19">
        <v>0</v>
      </c>
      <c r="I113" s="19">
        <v>0</v>
      </c>
      <c r="J113" s="19">
        <v>0</v>
      </c>
      <c r="K113" s="19">
        <v>0</v>
      </c>
      <c r="L113" s="19">
        <v>0</v>
      </c>
      <c r="M113" s="19">
        <v>0</v>
      </c>
      <c r="N113" s="19">
        <v>0</v>
      </c>
      <c r="O113" s="19">
        <v>0</v>
      </c>
      <c r="P113" s="19">
        <v>0</v>
      </c>
      <c r="Q113" s="19">
        <v>0</v>
      </c>
      <c r="R113" s="19">
        <v>0</v>
      </c>
      <c r="S113" s="19">
        <v>0</v>
      </c>
      <c r="T113" s="19">
        <v>0</v>
      </c>
      <c r="U113" s="19">
        <v>0</v>
      </c>
    </row>
    <row r="114" spans="1:21" x14ac:dyDescent="0.3">
      <c r="A114" s="20" t="s">
        <v>686</v>
      </c>
      <c r="B114" s="20">
        <v>54</v>
      </c>
      <c r="C114" s="20" t="s">
        <v>2</v>
      </c>
      <c r="D114" s="20" t="s">
        <v>220</v>
      </c>
      <c r="E114" s="20" t="s">
        <v>184</v>
      </c>
      <c r="F114" s="20" t="s">
        <v>348</v>
      </c>
      <c r="G114" s="20">
        <v>1</v>
      </c>
      <c r="H114" s="20">
        <v>0</v>
      </c>
      <c r="I114" s="20">
        <v>0</v>
      </c>
      <c r="J114" s="20">
        <v>0</v>
      </c>
      <c r="K114" s="20">
        <v>0</v>
      </c>
      <c r="L114" s="20">
        <v>0</v>
      </c>
      <c r="M114" s="20">
        <v>0</v>
      </c>
      <c r="N114" s="20">
        <v>0</v>
      </c>
      <c r="O114" s="20">
        <v>0</v>
      </c>
      <c r="P114" s="20">
        <v>0</v>
      </c>
      <c r="Q114" s="20">
        <v>0</v>
      </c>
      <c r="R114" s="20">
        <v>0</v>
      </c>
      <c r="S114" s="20">
        <v>0</v>
      </c>
      <c r="T114" s="20">
        <v>0</v>
      </c>
      <c r="U114" s="20">
        <v>0</v>
      </c>
    </row>
    <row r="115" spans="1:21" x14ac:dyDescent="0.3">
      <c r="A115" s="19" t="s">
        <v>687</v>
      </c>
      <c r="B115" s="19">
        <v>55</v>
      </c>
      <c r="C115" s="19" t="s">
        <v>2</v>
      </c>
      <c r="D115" s="19" t="s">
        <v>220</v>
      </c>
      <c r="E115" s="19" t="s">
        <v>184</v>
      </c>
      <c r="F115" s="19" t="s">
        <v>349</v>
      </c>
      <c r="G115" s="19">
        <v>1</v>
      </c>
      <c r="H115" s="19">
        <v>0</v>
      </c>
      <c r="I115" s="19">
        <v>0</v>
      </c>
      <c r="J115" s="19">
        <v>1</v>
      </c>
      <c r="K115" s="19">
        <v>0</v>
      </c>
      <c r="L115" s="19">
        <v>0</v>
      </c>
      <c r="M115" s="19">
        <v>0</v>
      </c>
      <c r="N115" s="19">
        <v>0</v>
      </c>
      <c r="O115" s="19">
        <v>0</v>
      </c>
      <c r="P115" s="19">
        <v>0</v>
      </c>
      <c r="Q115" s="19">
        <v>0</v>
      </c>
      <c r="R115" s="19">
        <v>1</v>
      </c>
      <c r="S115" s="19">
        <v>0</v>
      </c>
      <c r="T115" s="19">
        <v>0</v>
      </c>
      <c r="U115" s="19">
        <v>0</v>
      </c>
    </row>
    <row r="116" spans="1:21" x14ac:dyDescent="0.3">
      <c r="A116" s="20" t="s">
        <v>688</v>
      </c>
      <c r="B116" s="20">
        <v>56</v>
      </c>
      <c r="C116" s="20" t="s">
        <v>2</v>
      </c>
      <c r="D116" s="20" t="s">
        <v>220</v>
      </c>
      <c r="E116" s="20" t="s">
        <v>184</v>
      </c>
      <c r="F116" s="20" t="s">
        <v>350</v>
      </c>
      <c r="G116" s="20">
        <v>1</v>
      </c>
      <c r="H116" s="20">
        <v>0</v>
      </c>
      <c r="I116" s="20">
        <v>0</v>
      </c>
      <c r="J116" s="20">
        <v>0</v>
      </c>
      <c r="K116" s="20">
        <v>0</v>
      </c>
      <c r="L116" s="20">
        <v>0</v>
      </c>
      <c r="M116" s="20">
        <v>0</v>
      </c>
      <c r="N116" s="20">
        <v>0</v>
      </c>
      <c r="O116" s="20">
        <v>0</v>
      </c>
      <c r="P116" s="20">
        <v>0</v>
      </c>
      <c r="Q116" s="20">
        <v>1</v>
      </c>
      <c r="R116" s="20">
        <v>0</v>
      </c>
      <c r="S116" s="20">
        <v>0</v>
      </c>
      <c r="T116" s="20">
        <v>0</v>
      </c>
      <c r="U116" s="20">
        <v>0</v>
      </c>
    </row>
    <row r="117" spans="1:21" x14ac:dyDescent="0.3">
      <c r="A117" s="19" t="s">
        <v>465</v>
      </c>
      <c r="B117" s="19">
        <v>57</v>
      </c>
      <c r="C117" s="19" t="s">
        <v>2</v>
      </c>
      <c r="D117" s="19" t="s">
        <v>220</v>
      </c>
      <c r="E117" s="19" t="s">
        <v>225</v>
      </c>
      <c r="F117" s="19" t="s">
        <v>351</v>
      </c>
      <c r="G117" s="19">
        <v>1</v>
      </c>
      <c r="H117" s="19">
        <v>0</v>
      </c>
      <c r="I117" s="19">
        <v>0</v>
      </c>
      <c r="J117" s="19">
        <v>0</v>
      </c>
      <c r="K117" s="19">
        <v>0</v>
      </c>
      <c r="L117" s="19">
        <v>0</v>
      </c>
      <c r="M117" s="19">
        <v>0</v>
      </c>
      <c r="N117" s="19">
        <v>0</v>
      </c>
      <c r="O117" s="19">
        <v>0</v>
      </c>
      <c r="P117" s="19">
        <v>0</v>
      </c>
      <c r="Q117" s="19">
        <v>0</v>
      </c>
      <c r="R117" s="19">
        <v>0</v>
      </c>
      <c r="S117" s="19">
        <v>0</v>
      </c>
      <c r="T117" s="19">
        <v>0</v>
      </c>
      <c r="U117" s="19">
        <v>0</v>
      </c>
    </row>
    <row r="118" spans="1:21" x14ac:dyDescent="0.3">
      <c r="A118" s="20" t="s">
        <v>466</v>
      </c>
      <c r="B118" s="20">
        <v>58</v>
      </c>
      <c r="C118" s="20" t="s">
        <v>2</v>
      </c>
      <c r="D118" s="20" t="s">
        <v>220</v>
      </c>
      <c r="E118" s="20" t="s">
        <v>225</v>
      </c>
      <c r="F118" s="20" t="s">
        <v>352</v>
      </c>
      <c r="G118" s="20">
        <v>1</v>
      </c>
      <c r="H118" s="20">
        <v>0</v>
      </c>
      <c r="I118" s="20">
        <v>0</v>
      </c>
      <c r="J118" s="20">
        <v>0</v>
      </c>
      <c r="K118" s="20">
        <v>0</v>
      </c>
      <c r="L118" s="20">
        <v>0</v>
      </c>
      <c r="M118" s="20">
        <v>0</v>
      </c>
      <c r="N118" s="20">
        <v>0</v>
      </c>
      <c r="O118" s="20">
        <v>0</v>
      </c>
      <c r="P118" s="20">
        <v>0</v>
      </c>
      <c r="Q118" s="20">
        <v>0</v>
      </c>
      <c r="R118" s="20">
        <v>0</v>
      </c>
      <c r="S118" s="20">
        <v>0</v>
      </c>
      <c r="T118" s="20">
        <v>0</v>
      </c>
      <c r="U118" s="20">
        <v>0</v>
      </c>
    </row>
    <row r="119" spans="1:21" x14ac:dyDescent="0.3">
      <c r="A119" s="19" t="s">
        <v>467</v>
      </c>
      <c r="B119" s="19">
        <v>59</v>
      </c>
      <c r="C119" s="19" t="s">
        <v>2</v>
      </c>
      <c r="D119" s="19" t="s">
        <v>220</v>
      </c>
      <c r="E119" s="19" t="s">
        <v>225</v>
      </c>
      <c r="F119" s="19" t="s">
        <v>353</v>
      </c>
      <c r="G119" s="19">
        <v>1</v>
      </c>
      <c r="H119" s="19">
        <v>0</v>
      </c>
      <c r="I119" s="19">
        <v>0</v>
      </c>
      <c r="J119" s="19">
        <v>0</v>
      </c>
      <c r="K119" s="19">
        <v>0</v>
      </c>
      <c r="L119" s="19">
        <v>0</v>
      </c>
      <c r="M119" s="19">
        <v>0</v>
      </c>
      <c r="N119" s="19">
        <v>0</v>
      </c>
      <c r="O119" s="19">
        <v>0</v>
      </c>
      <c r="P119" s="19">
        <v>0</v>
      </c>
      <c r="Q119" s="19">
        <v>0</v>
      </c>
      <c r="R119" s="19">
        <v>0</v>
      </c>
      <c r="S119" s="19">
        <v>0</v>
      </c>
      <c r="T119" s="19">
        <v>0</v>
      </c>
      <c r="U119" s="19">
        <v>0</v>
      </c>
    </row>
    <row r="120" spans="1:21" x14ac:dyDescent="0.3">
      <c r="A120" s="20" t="s">
        <v>468</v>
      </c>
      <c r="B120" s="20">
        <v>60</v>
      </c>
      <c r="C120" s="20" t="s">
        <v>2</v>
      </c>
      <c r="D120" s="20" t="s">
        <v>220</v>
      </c>
      <c r="E120" s="20" t="s">
        <v>225</v>
      </c>
      <c r="F120" s="20" t="s">
        <v>354</v>
      </c>
      <c r="G120" s="20">
        <v>0</v>
      </c>
      <c r="H120" s="20">
        <v>1</v>
      </c>
      <c r="I120" s="20">
        <v>0</v>
      </c>
      <c r="J120" s="20">
        <v>1</v>
      </c>
      <c r="K120" s="20">
        <v>0</v>
      </c>
      <c r="L120" s="20">
        <v>0</v>
      </c>
      <c r="M120" s="20">
        <v>0</v>
      </c>
      <c r="N120" s="20">
        <v>0</v>
      </c>
      <c r="O120" s="20">
        <v>0</v>
      </c>
      <c r="P120" s="20">
        <v>0</v>
      </c>
      <c r="Q120" s="20">
        <v>0</v>
      </c>
      <c r="R120" s="20">
        <v>0</v>
      </c>
      <c r="S120" s="20">
        <v>1</v>
      </c>
      <c r="T120" s="20">
        <v>0</v>
      </c>
      <c r="U120" s="20">
        <v>0</v>
      </c>
    </row>
    <row r="121" spans="1:21" x14ac:dyDescent="0.3">
      <c r="A121" s="19" t="s">
        <v>469</v>
      </c>
      <c r="B121" s="19">
        <v>61</v>
      </c>
      <c r="C121" s="19" t="s">
        <v>2</v>
      </c>
      <c r="D121" s="19" t="s">
        <v>220</v>
      </c>
      <c r="E121" s="19" t="s">
        <v>225</v>
      </c>
      <c r="F121" s="19" t="s">
        <v>355</v>
      </c>
      <c r="G121" s="19">
        <v>0</v>
      </c>
      <c r="H121" s="19">
        <v>1</v>
      </c>
      <c r="I121" s="19">
        <v>0</v>
      </c>
      <c r="J121" s="19">
        <v>0</v>
      </c>
      <c r="K121" s="19">
        <v>0</v>
      </c>
      <c r="L121" s="19">
        <v>1</v>
      </c>
      <c r="M121" s="19">
        <v>0</v>
      </c>
      <c r="N121" s="19">
        <v>0</v>
      </c>
      <c r="O121" s="19">
        <v>0</v>
      </c>
      <c r="P121" s="19">
        <v>0</v>
      </c>
      <c r="Q121" s="19">
        <v>0</v>
      </c>
      <c r="R121" s="19">
        <v>0</v>
      </c>
      <c r="S121" s="19">
        <v>0</v>
      </c>
      <c r="T121" s="19">
        <v>0</v>
      </c>
      <c r="U121" s="19">
        <v>0</v>
      </c>
    </row>
    <row r="122" spans="1:21" x14ac:dyDescent="0.3">
      <c r="A122" s="20" t="s">
        <v>470</v>
      </c>
      <c r="B122" s="20">
        <v>62</v>
      </c>
      <c r="C122" s="20" t="s">
        <v>2</v>
      </c>
      <c r="D122" s="20" t="s">
        <v>220</v>
      </c>
      <c r="E122" s="20" t="s">
        <v>225</v>
      </c>
      <c r="F122" s="20" t="s">
        <v>356</v>
      </c>
      <c r="G122" s="20">
        <v>1</v>
      </c>
      <c r="H122" s="20">
        <v>0</v>
      </c>
      <c r="I122" s="20">
        <v>0</v>
      </c>
      <c r="J122" s="20">
        <v>0</v>
      </c>
      <c r="K122" s="20">
        <v>0</v>
      </c>
      <c r="L122" s="20">
        <v>0</v>
      </c>
      <c r="M122" s="20">
        <v>0</v>
      </c>
      <c r="N122" s="20">
        <v>0</v>
      </c>
      <c r="O122" s="20">
        <v>0</v>
      </c>
      <c r="P122" s="20">
        <v>0</v>
      </c>
      <c r="Q122" s="20">
        <v>0</v>
      </c>
      <c r="R122" s="20">
        <v>0</v>
      </c>
      <c r="S122" s="20">
        <v>0</v>
      </c>
      <c r="T122" s="20">
        <v>0</v>
      </c>
      <c r="U122" s="20">
        <v>0</v>
      </c>
    </row>
    <row r="123" spans="1:21" x14ac:dyDescent="0.3">
      <c r="A123" s="19" t="s">
        <v>471</v>
      </c>
      <c r="B123" s="19">
        <v>63</v>
      </c>
      <c r="C123" s="19" t="s">
        <v>2</v>
      </c>
      <c r="D123" s="19" t="s">
        <v>220</v>
      </c>
      <c r="E123" s="19" t="s">
        <v>225</v>
      </c>
      <c r="F123" s="19" t="s">
        <v>357</v>
      </c>
      <c r="G123" s="19">
        <v>0</v>
      </c>
      <c r="H123" s="19">
        <v>1</v>
      </c>
      <c r="I123" s="19">
        <v>0</v>
      </c>
      <c r="J123" s="19">
        <v>0</v>
      </c>
      <c r="K123" s="19">
        <v>0</v>
      </c>
      <c r="L123" s="19">
        <v>0</v>
      </c>
      <c r="M123" s="19">
        <v>0</v>
      </c>
      <c r="N123" s="19">
        <v>0</v>
      </c>
      <c r="O123" s="19">
        <v>0</v>
      </c>
      <c r="P123" s="19">
        <v>1</v>
      </c>
      <c r="Q123" s="19">
        <v>0</v>
      </c>
      <c r="R123" s="19">
        <v>0</v>
      </c>
      <c r="S123" s="19">
        <v>1</v>
      </c>
      <c r="T123" s="19">
        <v>0</v>
      </c>
      <c r="U123" s="19">
        <v>0</v>
      </c>
    </row>
    <row r="124" spans="1:21" x14ac:dyDescent="0.3">
      <c r="A124" s="20" t="s">
        <v>472</v>
      </c>
      <c r="B124" s="20">
        <v>64</v>
      </c>
      <c r="C124" s="20" t="s">
        <v>2</v>
      </c>
      <c r="D124" s="20" t="s">
        <v>220</v>
      </c>
      <c r="E124" s="20" t="s">
        <v>225</v>
      </c>
      <c r="F124" s="20" t="s">
        <v>358</v>
      </c>
      <c r="G124" s="20">
        <v>1</v>
      </c>
      <c r="H124" s="20">
        <v>0</v>
      </c>
      <c r="I124" s="20">
        <v>0</v>
      </c>
      <c r="J124" s="20">
        <v>0</v>
      </c>
      <c r="K124" s="20">
        <v>0</v>
      </c>
      <c r="L124" s="20">
        <v>0</v>
      </c>
      <c r="M124" s="20">
        <v>0</v>
      </c>
      <c r="N124" s="20">
        <v>1</v>
      </c>
      <c r="O124" s="20">
        <v>0</v>
      </c>
      <c r="P124" s="20">
        <v>0</v>
      </c>
      <c r="Q124" s="20">
        <v>0</v>
      </c>
      <c r="R124" s="20">
        <v>0</v>
      </c>
      <c r="S124" s="20">
        <v>0</v>
      </c>
      <c r="T124" s="20">
        <v>0</v>
      </c>
      <c r="U124" s="20">
        <v>0</v>
      </c>
    </row>
    <row r="125" spans="1:21" x14ac:dyDescent="0.3">
      <c r="A125" s="19" t="s">
        <v>473</v>
      </c>
      <c r="B125" s="19">
        <v>65</v>
      </c>
      <c r="C125" s="19" t="s">
        <v>2</v>
      </c>
      <c r="D125" s="19" t="s">
        <v>220</v>
      </c>
      <c r="E125" s="19" t="s">
        <v>225</v>
      </c>
      <c r="F125" s="19" t="s">
        <v>359</v>
      </c>
      <c r="G125" s="19">
        <v>0</v>
      </c>
      <c r="H125" s="19">
        <v>0</v>
      </c>
      <c r="I125" s="19">
        <v>0</v>
      </c>
      <c r="J125" s="19">
        <v>0</v>
      </c>
      <c r="K125" s="19">
        <v>0</v>
      </c>
      <c r="L125" s="19">
        <v>1</v>
      </c>
      <c r="M125" s="19">
        <v>0</v>
      </c>
      <c r="N125" s="19">
        <v>0</v>
      </c>
      <c r="O125" s="19">
        <v>0</v>
      </c>
      <c r="P125" s="19">
        <v>0</v>
      </c>
      <c r="Q125" s="19">
        <v>0</v>
      </c>
      <c r="R125" s="19">
        <v>1</v>
      </c>
      <c r="S125" s="19">
        <v>1</v>
      </c>
      <c r="T125" s="19">
        <v>0</v>
      </c>
      <c r="U125" s="19">
        <v>0</v>
      </c>
    </row>
    <row r="126" spans="1:21" x14ac:dyDescent="0.3">
      <c r="A126" s="20" t="s">
        <v>474</v>
      </c>
      <c r="B126" s="20">
        <v>66</v>
      </c>
      <c r="C126" s="20" t="s">
        <v>2</v>
      </c>
      <c r="D126" s="20" t="s">
        <v>220</v>
      </c>
      <c r="E126" s="20" t="s">
        <v>225</v>
      </c>
      <c r="F126" s="20" t="s">
        <v>360</v>
      </c>
      <c r="G126" s="20">
        <v>1</v>
      </c>
      <c r="H126" s="20">
        <v>0</v>
      </c>
      <c r="I126" s="20">
        <v>0</v>
      </c>
      <c r="J126" s="20">
        <v>0</v>
      </c>
      <c r="K126" s="20">
        <v>0</v>
      </c>
      <c r="L126" s="20">
        <v>0</v>
      </c>
      <c r="M126" s="20">
        <v>0</v>
      </c>
      <c r="N126" s="20">
        <v>0</v>
      </c>
      <c r="O126" s="20">
        <v>0</v>
      </c>
      <c r="P126" s="20">
        <v>0</v>
      </c>
      <c r="Q126" s="20">
        <v>0</v>
      </c>
      <c r="R126" s="20">
        <v>0</v>
      </c>
      <c r="S126" s="20">
        <v>0</v>
      </c>
      <c r="T126" s="20">
        <v>0</v>
      </c>
      <c r="U126" s="20">
        <v>0</v>
      </c>
    </row>
    <row r="127" spans="1:21" x14ac:dyDescent="0.3">
      <c r="A127" s="19" t="s">
        <v>475</v>
      </c>
      <c r="B127" s="19">
        <v>67</v>
      </c>
      <c r="C127" s="19" t="s">
        <v>2</v>
      </c>
      <c r="D127" s="19" t="s">
        <v>220</v>
      </c>
      <c r="E127" s="19" t="s">
        <v>225</v>
      </c>
      <c r="F127" s="19" t="s">
        <v>361</v>
      </c>
      <c r="G127" s="19">
        <v>0</v>
      </c>
      <c r="H127" s="19">
        <v>1</v>
      </c>
      <c r="I127" s="19">
        <v>0</v>
      </c>
      <c r="J127" s="19">
        <v>0</v>
      </c>
      <c r="K127" s="19">
        <v>0</v>
      </c>
      <c r="L127" s="19">
        <v>1</v>
      </c>
      <c r="M127" s="19">
        <v>0</v>
      </c>
      <c r="N127" s="19">
        <v>0</v>
      </c>
      <c r="O127" s="19">
        <v>0</v>
      </c>
      <c r="P127" s="19">
        <v>0</v>
      </c>
      <c r="Q127" s="19">
        <v>0</v>
      </c>
      <c r="R127" s="19">
        <v>1</v>
      </c>
      <c r="S127" s="19">
        <v>1</v>
      </c>
      <c r="T127" s="19">
        <v>0</v>
      </c>
      <c r="U127" s="19">
        <v>0</v>
      </c>
    </row>
    <row r="128" spans="1:21" x14ac:dyDescent="0.3">
      <c r="A128" s="20" t="s">
        <v>476</v>
      </c>
      <c r="B128" s="20">
        <v>68</v>
      </c>
      <c r="C128" s="20" t="s">
        <v>2</v>
      </c>
      <c r="D128" s="20" t="s">
        <v>220</v>
      </c>
      <c r="E128" s="20" t="s">
        <v>225</v>
      </c>
      <c r="F128" s="20" t="s">
        <v>362</v>
      </c>
      <c r="G128" s="20">
        <v>0</v>
      </c>
      <c r="H128" s="20">
        <v>0</v>
      </c>
      <c r="I128" s="20">
        <v>0</v>
      </c>
      <c r="J128" s="20">
        <v>1</v>
      </c>
      <c r="K128" s="20">
        <v>0</v>
      </c>
      <c r="L128" s="20">
        <v>1</v>
      </c>
      <c r="M128" s="20">
        <v>0</v>
      </c>
      <c r="N128" s="20">
        <v>0</v>
      </c>
      <c r="O128" s="20">
        <v>0</v>
      </c>
      <c r="P128" s="20">
        <v>0</v>
      </c>
      <c r="Q128" s="20">
        <v>0</v>
      </c>
      <c r="R128" s="20">
        <v>1</v>
      </c>
      <c r="S128" s="20">
        <v>1</v>
      </c>
      <c r="T128" s="20">
        <v>0</v>
      </c>
      <c r="U128" s="20">
        <v>0</v>
      </c>
    </row>
    <row r="129" spans="1:21" x14ac:dyDescent="0.3">
      <c r="A129" s="19" t="s">
        <v>477</v>
      </c>
      <c r="B129" s="19">
        <v>69</v>
      </c>
      <c r="C129" s="19" t="s">
        <v>2</v>
      </c>
      <c r="D129" s="19" t="s">
        <v>220</v>
      </c>
      <c r="E129" s="19" t="s">
        <v>225</v>
      </c>
      <c r="F129" s="19" t="s">
        <v>363</v>
      </c>
      <c r="G129" s="19">
        <v>1</v>
      </c>
      <c r="H129" s="19">
        <v>0</v>
      </c>
      <c r="I129" s="19">
        <v>0</v>
      </c>
      <c r="J129" s="19">
        <v>0</v>
      </c>
      <c r="K129" s="19">
        <v>0</v>
      </c>
      <c r="L129" s="19">
        <v>0</v>
      </c>
      <c r="M129" s="19">
        <v>0</v>
      </c>
      <c r="N129" s="19">
        <v>0</v>
      </c>
      <c r="O129" s="19">
        <v>0</v>
      </c>
      <c r="P129" s="19">
        <v>0</v>
      </c>
      <c r="Q129" s="19">
        <v>0</v>
      </c>
      <c r="R129" s="19">
        <v>0</v>
      </c>
      <c r="S129" s="19">
        <v>0</v>
      </c>
      <c r="T129" s="19">
        <v>0</v>
      </c>
      <c r="U129" s="19">
        <v>0</v>
      </c>
    </row>
    <row r="130" spans="1:21" x14ac:dyDescent="0.3">
      <c r="A130" s="20" t="s">
        <v>478</v>
      </c>
      <c r="B130" s="20">
        <v>70</v>
      </c>
      <c r="C130" s="20" t="s">
        <v>2</v>
      </c>
      <c r="D130" s="20" t="s">
        <v>220</v>
      </c>
      <c r="E130" s="20" t="s">
        <v>225</v>
      </c>
      <c r="F130" s="20" t="s">
        <v>364</v>
      </c>
      <c r="G130" s="20">
        <v>1</v>
      </c>
      <c r="H130" s="20">
        <v>0</v>
      </c>
      <c r="I130" s="20">
        <v>0</v>
      </c>
      <c r="J130" s="20">
        <v>0</v>
      </c>
      <c r="K130" s="20">
        <v>0</v>
      </c>
      <c r="L130" s="20">
        <v>0</v>
      </c>
      <c r="M130" s="20">
        <v>0</v>
      </c>
      <c r="N130" s="20">
        <v>0</v>
      </c>
      <c r="O130" s="20">
        <v>0</v>
      </c>
      <c r="P130" s="20">
        <v>0</v>
      </c>
      <c r="Q130" s="20">
        <v>0</v>
      </c>
      <c r="R130" s="20">
        <v>0</v>
      </c>
      <c r="S130" s="20">
        <v>0</v>
      </c>
      <c r="T130" s="20">
        <v>0</v>
      </c>
      <c r="U130" s="20">
        <v>0</v>
      </c>
    </row>
    <row r="131" spans="1:21" x14ac:dyDescent="0.3">
      <c r="A131" s="19" t="s">
        <v>479</v>
      </c>
      <c r="B131" s="19">
        <v>71</v>
      </c>
      <c r="C131" s="19" t="s">
        <v>2</v>
      </c>
      <c r="D131" s="19" t="s">
        <v>220</v>
      </c>
      <c r="E131" s="19" t="s">
        <v>225</v>
      </c>
      <c r="F131" s="19" t="s">
        <v>365</v>
      </c>
      <c r="G131" s="19">
        <v>0</v>
      </c>
      <c r="H131" s="19">
        <v>1</v>
      </c>
      <c r="I131" s="19">
        <v>0</v>
      </c>
      <c r="J131" s="19">
        <v>0</v>
      </c>
      <c r="K131" s="19">
        <v>0</v>
      </c>
      <c r="L131" s="19">
        <v>0</v>
      </c>
      <c r="M131" s="19">
        <v>0</v>
      </c>
      <c r="N131" s="19">
        <v>0</v>
      </c>
      <c r="O131" s="19">
        <v>0</v>
      </c>
      <c r="P131" s="19">
        <v>1</v>
      </c>
      <c r="Q131" s="19">
        <v>0</v>
      </c>
      <c r="R131" s="19">
        <v>0</v>
      </c>
      <c r="S131" s="19">
        <v>1</v>
      </c>
      <c r="T131" s="19">
        <v>0</v>
      </c>
      <c r="U131" s="19">
        <v>0</v>
      </c>
    </row>
    <row r="132" spans="1:21" x14ac:dyDescent="0.3">
      <c r="A132" s="20" t="s">
        <v>480</v>
      </c>
      <c r="B132" s="20">
        <v>72</v>
      </c>
      <c r="C132" s="20" t="s">
        <v>2</v>
      </c>
      <c r="D132" s="20" t="s">
        <v>220</v>
      </c>
      <c r="E132" s="20" t="s">
        <v>192</v>
      </c>
      <c r="F132" s="20" t="s">
        <v>366</v>
      </c>
      <c r="G132" s="20">
        <v>1</v>
      </c>
      <c r="H132" s="20">
        <v>0</v>
      </c>
      <c r="I132" s="20">
        <v>0</v>
      </c>
      <c r="J132" s="20">
        <v>0</v>
      </c>
      <c r="K132" s="20">
        <v>0</v>
      </c>
      <c r="L132" s="20">
        <v>0</v>
      </c>
      <c r="M132" s="20">
        <v>0</v>
      </c>
      <c r="N132" s="20">
        <v>0</v>
      </c>
      <c r="O132" s="20">
        <v>0</v>
      </c>
      <c r="P132" s="20">
        <v>0</v>
      </c>
      <c r="Q132" s="20">
        <v>0</v>
      </c>
      <c r="R132" s="20">
        <v>0</v>
      </c>
      <c r="S132" s="20">
        <v>0</v>
      </c>
      <c r="T132" s="20">
        <v>0</v>
      </c>
      <c r="U132" s="20">
        <v>0</v>
      </c>
    </row>
    <row r="133" spans="1:21" x14ac:dyDescent="0.3">
      <c r="A133" s="19" t="s">
        <v>481</v>
      </c>
      <c r="B133" s="19">
        <v>73</v>
      </c>
      <c r="C133" s="19" t="s">
        <v>2</v>
      </c>
      <c r="D133" s="19" t="s">
        <v>220</v>
      </c>
      <c r="E133" s="19" t="s">
        <v>192</v>
      </c>
      <c r="F133" s="19" t="s">
        <v>367</v>
      </c>
      <c r="G133" s="19">
        <v>0</v>
      </c>
      <c r="H133" s="19">
        <v>1</v>
      </c>
      <c r="I133" s="19">
        <v>0</v>
      </c>
      <c r="J133" s="19">
        <v>0</v>
      </c>
      <c r="K133" s="19">
        <v>0</v>
      </c>
      <c r="L133" s="19">
        <v>1</v>
      </c>
      <c r="M133" s="19">
        <v>0</v>
      </c>
      <c r="N133" s="19">
        <v>0</v>
      </c>
      <c r="O133" s="19">
        <v>0</v>
      </c>
      <c r="P133" s="19">
        <v>0</v>
      </c>
      <c r="Q133" s="19">
        <v>0</v>
      </c>
      <c r="R133" s="19">
        <v>0</v>
      </c>
      <c r="S133" s="19">
        <v>1</v>
      </c>
      <c r="T133" s="19">
        <v>0</v>
      </c>
      <c r="U133" s="19">
        <v>0</v>
      </c>
    </row>
    <row r="134" spans="1:21" x14ac:dyDescent="0.3">
      <c r="A134" s="20" t="s">
        <v>482</v>
      </c>
      <c r="B134" s="20">
        <v>74</v>
      </c>
      <c r="C134" s="20" t="s">
        <v>2</v>
      </c>
      <c r="D134" s="20" t="s">
        <v>220</v>
      </c>
      <c r="E134" s="20" t="s">
        <v>192</v>
      </c>
      <c r="F134" s="20" t="s">
        <v>368</v>
      </c>
      <c r="G134" s="20">
        <v>0</v>
      </c>
      <c r="H134" s="20">
        <v>1</v>
      </c>
      <c r="I134" s="20">
        <v>0</v>
      </c>
      <c r="J134" s="20">
        <v>0</v>
      </c>
      <c r="K134" s="20">
        <v>0</v>
      </c>
      <c r="L134" s="20">
        <v>1</v>
      </c>
      <c r="M134" s="20">
        <v>0</v>
      </c>
      <c r="N134" s="20">
        <v>0</v>
      </c>
      <c r="O134" s="20">
        <v>0</v>
      </c>
      <c r="P134" s="20">
        <v>0</v>
      </c>
      <c r="Q134" s="20">
        <v>0</v>
      </c>
      <c r="R134" s="20">
        <v>1</v>
      </c>
      <c r="S134" s="20">
        <v>1</v>
      </c>
      <c r="T134" s="20">
        <v>0</v>
      </c>
      <c r="U134" s="20">
        <v>0</v>
      </c>
    </row>
    <row r="135" spans="1:21" x14ac:dyDescent="0.3">
      <c r="A135" s="19" t="s">
        <v>483</v>
      </c>
      <c r="B135" s="19">
        <v>75</v>
      </c>
      <c r="C135" s="19" t="s">
        <v>2</v>
      </c>
      <c r="D135" s="19" t="s">
        <v>220</v>
      </c>
      <c r="E135" s="19" t="s">
        <v>192</v>
      </c>
      <c r="F135" s="19" t="s">
        <v>369</v>
      </c>
      <c r="G135" s="19">
        <v>0</v>
      </c>
      <c r="H135" s="19">
        <v>1</v>
      </c>
      <c r="I135" s="19">
        <v>0</v>
      </c>
      <c r="J135" s="19">
        <v>1</v>
      </c>
      <c r="K135" s="19">
        <v>0</v>
      </c>
      <c r="L135" s="19">
        <v>0</v>
      </c>
      <c r="M135" s="19">
        <v>0</v>
      </c>
      <c r="N135" s="19">
        <v>0</v>
      </c>
      <c r="O135" s="19">
        <v>0</v>
      </c>
      <c r="P135" s="19">
        <v>0</v>
      </c>
      <c r="Q135" s="19">
        <v>0</v>
      </c>
      <c r="R135" s="19">
        <v>0</v>
      </c>
      <c r="S135" s="19">
        <v>1</v>
      </c>
      <c r="T135" s="19">
        <v>0</v>
      </c>
      <c r="U135" s="19">
        <v>0</v>
      </c>
    </row>
    <row r="136" spans="1:21" x14ac:dyDescent="0.3">
      <c r="A136" s="20" t="s">
        <v>484</v>
      </c>
      <c r="B136" s="20">
        <v>76</v>
      </c>
      <c r="C136" s="20" t="s">
        <v>2</v>
      </c>
      <c r="D136" s="20" t="s">
        <v>220</v>
      </c>
      <c r="E136" s="20" t="s">
        <v>192</v>
      </c>
      <c r="F136" s="20" t="s">
        <v>356</v>
      </c>
      <c r="G136" s="20">
        <v>1</v>
      </c>
      <c r="H136" s="20">
        <v>0</v>
      </c>
      <c r="I136" s="20">
        <v>0</v>
      </c>
      <c r="J136" s="20">
        <v>0</v>
      </c>
      <c r="K136" s="20">
        <v>0</v>
      </c>
      <c r="L136" s="20">
        <v>0</v>
      </c>
      <c r="M136" s="20">
        <v>0</v>
      </c>
      <c r="N136" s="20">
        <v>0</v>
      </c>
      <c r="O136" s="20">
        <v>0</v>
      </c>
      <c r="P136" s="20">
        <v>0</v>
      </c>
      <c r="Q136" s="20">
        <v>0</v>
      </c>
      <c r="R136" s="20">
        <v>0</v>
      </c>
      <c r="S136" s="20">
        <v>0</v>
      </c>
      <c r="T136" s="20">
        <v>0</v>
      </c>
      <c r="U136" s="20">
        <v>0</v>
      </c>
    </row>
    <row r="137" spans="1:21" x14ac:dyDescent="0.3">
      <c r="A137" s="19" t="s">
        <v>485</v>
      </c>
      <c r="B137" s="19">
        <v>77</v>
      </c>
      <c r="C137" s="19" t="s">
        <v>2</v>
      </c>
      <c r="D137" s="19" t="s">
        <v>220</v>
      </c>
      <c r="E137" s="19" t="s">
        <v>192</v>
      </c>
      <c r="F137" s="19" t="s">
        <v>370</v>
      </c>
      <c r="G137" s="19">
        <v>1</v>
      </c>
      <c r="H137" s="19">
        <v>0</v>
      </c>
      <c r="I137" s="19">
        <v>0</v>
      </c>
      <c r="J137" s="19">
        <v>0</v>
      </c>
      <c r="K137" s="19">
        <v>0</v>
      </c>
      <c r="L137" s="19">
        <v>0</v>
      </c>
      <c r="M137" s="19">
        <v>0</v>
      </c>
      <c r="N137" s="19">
        <v>0</v>
      </c>
      <c r="O137" s="19">
        <v>0</v>
      </c>
      <c r="P137" s="19">
        <v>0</v>
      </c>
      <c r="Q137" s="19">
        <v>1</v>
      </c>
      <c r="R137" s="19">
        <v>0</v>
      </c>
      <c r="S137" s="19">
        <v>0</v>
      </c>
      <c r="T137" s="19">
        <v>0</v>
      </c>
      <c r="U137" s="19">
        <v>0</v>
      </c>
    </row>
    <row r="138" spans="1:21" x14ac:dyDescent="0.3">
      <c r="A138" s="20" t="s">
        <v>486</v>
      </c>
      <c r="B138" s="20">
        <v>78</v>
      </c>
      <c r="C138" s="20" t="s">
        <v>2</v>
      </c>
      <c r="D138" s="20" t="s">
        <v>220</v>
      </c>
      <c r="E138" s="20" t="s">
        <v>197</v>
      </c>
      <c r="F138" s="20" t="s">
        <v>371</v>
      </c>
      <c r="G138" s="20">
        <v>1</v>
      </c>
      <c r="H138" s="20">
        <v>0</v>
      </c>
      <c r="I138" s="20">
        <v>0</v>
      </c>
      <c r="J138" s="20">
        <v>0</v>
      </c>
      <c r="K138" s="20">
        <v>0</v>
      </c>
      <c r="L138" s="20">
        <v>0</v>
      </c>
      <c r="M138" s="20">
        <v>0</v>
      </c>
      <c r="N138" s="20">
        <v>0</v>
      </c>
      <c r="O138" s="20">
        <v>0</v>
      </c>
      <c r="P138" s="20">
        <v>0</v>
      </c>
      <c r="Q138" s="20">
        <v>0</v>
      </c>
      <c r="R138" s="20">
        <v>0</v>
      </c>
      <c r="S138" s="20">
        <v>0</v>
      </c>
      <c r="T138" s="20">
        <v>0</v>
      </c>
      <c r="U138" s="20">
        <v>0</v>
      </c>
    </row>
    <row r="139" spans="1:21" x14ac:dyDescent="0.3">
      <c r="A139" s="19" t="s">
        <v>487</v>
      </c>
      <c r="B139" s="19">
        <v>79</v>
      </c>
      <c r="C139" s="19" t="s">
        <v>2</v>
      </c>
      <c r="D139" s="19" t="s">
        <v>220</v>
      </c>
      <c r="E139" s="19" t="s">
        <v>200</v>
      </c>
      <c r="F139" s="19" t="s">
        <v>372</v>
      </c>
      <c r="G139" s="19">
        <v>0</v>
      </c>
      <c r="H139" s="19">
        <v>1</v>
      </c>
      <c r="I139" s="19">
        <v>0</v>
      </c>
      <c r="J139" s="19">
        <v>0</v>
      </c>
      <c r="K139" s="19">
        <v>0</v>
      </c>
      <c r="L139" s="19">
        <v>1</v>
      </c>
      <c r="M139" s="19">
        <v>0</v>
      </c>
      <c r="N139" s="19">
        <v>0</v>
      </c>
      <c r="O139" s="19">
        <v>0</v>
      </c>
      <c r="P139" s="19">
        <v>0</v>
      </c>
      <c r="Q139" s="19">
        <v>0</v>
      </c>
      <c r="R139" s="19">
        <v>1</v>
      </c>
      <c r="S139" s="19">
        <v>1</v>
      </c>
      <c r="T139" s="19">
        <v>0</v>
      </c>
      <c r="U139" s="19">
        <v>0</v>
      </c>
    </row>
    <row r="140" spans="1:21" x14ac:dyDescent="0.3">
      <c r="A140" s="20" t="s">
        <v>488</v>
      </c>
      <c r="B140" s="20">
        <v>80</v>
      </c>
      <c r="C140" s="20" t="s">
        <v>2</v>
      </c>
      <c r="D140" s="20" t="s">
        <v>220</v>
      </c>
      <c r="E140" s="20" t="s">
        <v>200</v>
      </c>
      <c r="F140" s="20" t="s">
        <v>373</v>
      </c>
      <c r="G140" s="20">
        <v>0</v>
      </c>
      <c r="H140" s="20">
        <v>1</v>
      </c>
      <c r="I140" s="20">
        <v>0</v>
      </c>
      <c r="J140" s="20">
        <v>1</v>
      </c>
      <c r="K140" s="20">
        <v>0</v>
      </c>
      <c r="L140" s="20">
        <v>0</v>
      </c>
      <c r="M140" s="20">
        <v>0</v>
      </c>
      <c r="N140" s="20">
        <v>0</v>
      </c>
      <c r="O140" s="20">
        <v>0</v>
      </c>
      <c r="P140" s="20">
        <v>0</v>
      </c>
      <c r="Q140" s="20">
        <v>0</v>
      </c>
      <c r="R140" s="20">
        <v>0</v>
      </c>
      <c r="S140" s="20">
        <v>1</v>
      </c>
      <c r="T140" s="20">
        <v>0</v>
      </c>
      <c r="U140" s="20">
        <v>0</v>
      </c>
    </row>
    <row r="141" spans="1:21" x14ac:dyDescent="0.3">
      <c r="A141" s="19" t="s">
        <v>489</v>
      </c>
      <c r="B141" s="19">
        <v>81</v>
      </c>
      <c r="C141" s="19" t="s">
        <v>2</v>
      </c>
      <c r="D141" s="19" t="s">
        <v>220</v>
      </c>
      <c r="E141" s="19" t="s">
        <v>264</v>
      </c>
      <c r="F141" s="19" t="s">
        <v>374</v>
      </c>
      <c r="G141" s="19">
        <v>1</v>
      </c>
      <c r="H141" s="19">
        <v>0</v>
      </c>
      <c r="I141" s="19">
        <v>0</v>
      </c>
      <c r="J141" s="19">
        <v>0</v>
      </c>
      <c r="K141" s="19">
        <v>0</v>
      </c>
      <c r="L141" s="19">
        <v>1</v>
      </c>
      <c r="M141" s="19">
        <v>0</v>
      </c>
      <c r="N141" s="19">
        <v>0</v>
      </c>
      <c r="O141" s="19">
        <v>0</v>
      </c>
      <c r="P141" s="19">
        <v>0</v>
      </c>
      <c r="Q141" s="19">
        <v>1</v>
      </c>
      <c r="R141" s="19">
        <v>0</v>
      </c>
      <c r="S141" s="19">
        <v>0</v>
      </c>
      <c r="T141" s="19">
        <v>0</v>
      </c>
      <c r="U141" s="19">
        <v>0</v>
      </c>
    </row>
    <row r="142" spans="1:21" x14ac:dyDescent="0.3">
      <c r="A142" s="20" t="s">
        <v>490</v>
      </c>
      <c r="B142" s="20">
        <v>82</v>
      </c>
      <c r="C142" s="20" t="s">
        <v>2</v>
      </c>
      <c r="D142" s="20" t="s">
        <v>220</v>
      </c>
      <c r="E142" s="20" t="s">
        <v>203</v>
      </c>
      <c r="F142" s="20" t="s">
        <v>375</v>
      </c>
      <c r="G142" s="20">
        <v>0</v>
      </c>
      <c r="H142" s="20">
        <v>1</v>
      </c>
      <c r="I142" s="20">
        <v>0</v>
      </c>
      <c r="J142" s="20">
        <v>0</v>
      </c>
      <c r="K142" s="20">
        <v>0</v>
      </c>
      <c r="L142" s="20">
        <v>0</v>
      </c>
      <c r="M142" s="20">
        <v>0</v>
      </c>
      <c r="N142" s="20">
        <v>0</v>
      </c>
      <c r="O142" s="20">
        <v>0</v>
      </c>
      <c r="P142" s="20">
        <v>0</v>
      </c>
      <c r="Q142" s="20">
        <v>0</v>
      </c>
      <c r="R142" s="20">
        <v>0</v>
      </c>
      <c r="S142" s="20">
        <v>1</v>
      </c>
      <c r="T142" s="20">
        <v>0</v>
      </c>
      <c r="U142" s="20">
        <v>0</v>
      </c>
    </row>
    <row r="143" spans="1:21" x14ac:dyDescent="0.3">
      <c r="A143" s="19" t="s">
        <v>491</v>
      </c>
      <c r="B143" s="19">
        <v>83</v>
      </c>
      <c r="C143" s="19" t="s">
        <v>2</v>
      </c>
      <c r="D143" s="19" t="s">
        <v>220</v>
      </c>
      <c r="E143" s="19" t="s">
        <v>207</v>
      </c>
      <c r="F143" s="19" t="s">
        <v>356</v>
      </c>
      <c r="G143" s="19">
        <v>1</v>
      </c>
      <c r="H143" s="19">
        <v>0</v>
      </c>
      <c r="I143" s="19">
        <v>0</v>
      </c>
      <c r="J143" s="19">
        <v>0</v>
      </c>
      <c r="K143" s="19">
        <v>0</v>
      </c>
      <c r="L143" s="19">
        <v>0</v>
      </c>
      <c r="M143" s="19">
        <v>0</v>
      </c>
      <c r="N143" s="19">
        <v>0</v>
      </c>
      <c r="O143" s="19">
        <v>0</v>
      </c>
      <c r="P143" s="19">
        <v>0</v>
      </c>
      <c r="Q143" s="19">
        <v>0</v>
      </c>
      <c r="R143" s="19">
        <v>0</v>
      </c>
      <c r="S143" s="19">
        <v>0</v>
      </c>
      <c r="T143" s="19">
        <v>0</v>
      </c>
      <c r="U143" s="19">
        <v>0</v>
      </c>
    </row>
    <row r="144" spans="1:21" x14ac:dyDescent="0.3">
      <c r="A144" s="20" t="s">
        <v>492</v>
      </c>
      <c r="B144" s="20">
        <v>84</v>
      </c>
      <c r="C144" s="20" t="s">
        <v>2</v>
      </c>
      <c r="D144" s="20" t="s">
        <v>220</v>
      </c>
      <c r="E144" s="20" t="s">
        <v>207</v>
      </c>
      <c r="F144" s="20" t="s">
        <v>376</v>
      </c>
      <c r="G144" s="20">
        <v>1</v>
      </c>
      <c r="H144" s="20">
        <v>0</v>
      </c>
      <c r="I144" s="20">
        <v>0</v>
      </c>
      <c r="J144" s="20">
        <v>0</v>
      </c>
      <c r="K144" s="20">
        <v>0</v>
      </c>
      <c r="L144" s="20">
        <v>0</v>
      </c>
      <c r="M144" s="20">
        <v>0</v>
      </c>
      <c r="N144" s="20">
        <v>0</v>
      </c>
      <c r="O144" s="20">
        <v>0</v>
      </c>
      <c r="P144" s="20">
        <v>1</v>
      </c>
      <c r="Q144" s="20">
        <v>0</v>
      </c>
      <c r="R144" s="20">
        <v>0</v>
      </c>
      <c r="S144" s="20">
        <v>0</v>
      </c>
      <c r="T144" s="20">
        <v>0</v>
      </c>
      <c r="U144" s="20">
        <v>0</v>
      </c>
    </row>
    <row r="145" spans="1:21" x14ac:dyDescent="0.3">
      <c r="A145" s="19" t="s">
        <v>493</v>
      </c>
      <c r="B145" s="19">
        <v>85</v>
      </c>
      <c r="C145" s="19" t="s">
        <v>2</v>
      </c>
      <c r="D145" s="19" t="s">
        <v>220</v>
      </c>
      <c r="E145" s="19" t="s">
        <v>281</v>
      </c>
      <c r="F145" s="19" t="s">
        <v>377</v>
      </c>
      <c r="G145" s="19">
        <v>0</v>
      </c>
      <c r="H145" s="19">
        <v>1</v>
      </c>
      <c r="I145" s="19">
        <v>0</v>
      </c>
      <c r="J145" s="19">
        <v>0</v>
      </c>
      <c r="K145" s="19">
        <v>0</v>
      </c>
      <c r="L145" s="19">
        <v>1</v>
      </c>
      <c r="M145" s="19">
        <v>0</v>
      </c>
      <c r="N145" s="19">
        <v>0</v>
      </c>
      <c r="O145" s="19">
        <v>0</v>
      </c>
      <c r="P145" s="19">
        <v>0</v>
      </c>
      <c r="Q145" s="19">
        <v>0</v>
      </c>
      <c r="R145" s="19">
        <v>1</v>
      </c>
      <c r="S145" s="19">
        <v>1</v>
      </c>
      <c r="T145" s="19">
        <v>0</v>
      </c>
      <c r="U145" s="19">
        <v>0</v>
      </c>
    </row>
    <row r="146" spans="1:21" x14ac:dyDescent="0.3">
      <c r="A146" s="20" t="s">
        <v>494</v>
      </c>
      <c r="B146" s="20">
        <v>86</v>
      </c>
      <c r="C146" s="20" t="s">
        <v>2</v>
      </c>
      <c r="D146" s="20" t="s">
        <v>220</v>
      </c>
      <c r="E146" s="20" t="s">
        <v>216</v>
      </c>
      <c r="F146" s="20" t="s">
        <v>378</v>
      </c>
      <c r="G146" s="20">
        <v>0</v>
      </c>
      <c r="H146" s="20">
        <v>1</v>
      </c>
      <c r="I146" s="20">
        <v>0</v>
      </c>
      <c r="J146" s="20">
        <v>1</v>
      </c>
      <c r="K146" s="20">
        <v>0</v>
      </c>
      <c r="L146" s="20">
        <v>0</v>
      </c>
      <c r="M146" s="20">
        <v>0</v>
      </c>
      <c r="N146" s="20">
        <v>0</v>
      </c>
      <c r="O146" s="20">
        <v>0</v>
      </c>
      <c r="P146" s="20">
        <v>0</v>
      </c>
      <c r="Q146" s="20">
        <v>0</v>
      </c>
      <c r="R146" s="20">
        <v>0</v>
      </c>
      <c r="S146" s="20">
        <v>1</v>
      </c>
      <c r="T146" s="20">
        <v>0</v>
      </c>
      <c r="U146" s="20">
        <v>0</v>
      </c>
    </row>
    <row r="147" spans="1:21" x14ac:dyDescent="0.3">
      <c r="A147" s="19" t="s">
        <v>689</v>
      </c>
      <c r="B147" s="19">
        <v>97855</v>
      </c>
      <c r="C147" s="19" t="s">
        <v>2</v>
      </c>
      <c r="D147" s="19" t="s">
        <v>379</v>
      </c>
      <c r="E147" s="19" t="s">
        <v>187</v>
      </c>
      <c r="F147" s="19" t="s">
        <v>718</v>
      </c>
      <c r="G147">
        <v>0</v>
      </c>
      <c r="H147">
        <v>1</v>
      </c>
      <c r="I147">
        <v>0</v>
      </c>
      <c r="J147">
        <v>0</v>
      </c>
      <c r="K147">
        <v>0</v>
      </c>
      <c r="L147">
        <v>1</v>
      </c>
      <c r="M147">
        <v>0</v>
      </c>
      <c r="N147">
        <v>1</v>
      </c>
      <c r="O147">
        <v>0</v>
      </c>
      <c r="P147">
        <v>0</v>
      </c>
      <c r="Q147">
        <v>0</v>
      </c>
      <c r="R147">
        <v>0</v>
      </c>
      <c r="S147">
        <v>1</v>
      </c>
      <c r="T147">
        <v>0</v>
      </c>
      <c r="U147">
        <v>0</v>
      </c>
    </row>
    <row r="148" spans="1:21" x14ac:dyDescent="0.3">
      <c r="A148" s="20" t="s">
        <v>690</v>
      </c>
      <c r="B148" s="20">
        <v>90714</v>
      </c>
      <c r="C148" s="20" t="s">
        <v>2</v>
      </c>
      <c r="D148" s="20" t="s">
        <v>379</v>
      </c>
      <c r="E148" s="20" t="s">
        <v>207</v>
      </c>
      <c r="F148" s="20" t="s">
        <v>719</v>
      </c>
      <c r="G148">
        <v>0</v>
      </c>
      <c r="H148">
        <v>1</v>
      </c>
      <c r="I148">
        <v>0</v>
      </c>
      <c r="J148">
        <v>0</v>
      </c>
      <c r="K148">
        <v>0</v>
      </c>
      <c r="L148">
        <v>1</v>
      </c>
      <c r="M148">
        <v>0</v>
      </c>
      <c r="N148">
        <v>1</v>
      </c>
      <c r="O148">
        <v>0</v>
      </c>
      <c r="P148">
        <v>1</v>
      </c>
      <c r="Q148">
        <v>0</v>
      </c>
      <c r="R148">
        <v>1</v>
      </c>
      <c r="S148">
        <v>0</v>
      </c>
      <c r="T148">
        <v>0</v>
      </c>
      <c r="U148">
        <v>0</v>
      </c>
    </row>
    <row r="149" spans="1:21" x14ac:dyDescent="0.3">
      <c r="A149" s="19" t="s">
        <v>691</v>
      </c>
      <c r="B149" s="19">
        <v>97478</v>
      </c>
      <c r="C149" s="19" t="s">
        <v>2</v>
      </c>
      <c r="D149" s="19" t="s">
        <v>379</v>
      </c>
      <c r="E149" s="19" t="s">
        <v>192</v>
      </c>
      <c r="F149" s="19" t="s">
        <v>720</v>
      </c>
      <c r="G149">
        <v>1</v>
      </c>
      <c r="H149">
        <v>1</v>
      </c>
      <c r="I149">
        <v>0</v>
      </c>
      <c r="J149">
        <v>1</v>
      </c>
      <c r="K149">
        <v>0</v>
      </c>
      <c r="L149">
        <v>0</v>
      </c>
      <c r="M149">
        <v>0</v>
      </c>
      <c r="N149">
        <v>0</v>
      </c>
      <c r="O149">
        <v>0</v>
      </c>
      <c r="P149">
        <v>1</v>
      </c>
      <c r="Q149">
        <v>1</v>
      </c>
      <c r="R149">
        <v>0</v>
      </c>
      <c r="S149">
        <v>0</v>
      </c>
      <c r="T149">
        <v>0</v>
      </c>
      <c r="U149">
        <v>0</v>
      </c>
    </row>
    <row r="150" spans="1:21" x14ac:dyDescent="0.3">
      <c r="A150" s="20" t="s">
        <v>692</v>
      </c>
      <c r="B150" s="20">
        <v>93267</v>
      </c>
      <c r="C150" s="20" t="s">
        <v>2</v>
      </c>
      <c r="D150" s="20" t="s">
        <v>379</v>
      </c>
      <c r="E150" s="20" t="s">
        <v>264</v>
      </c>
      <c r="F150" s="20" t="s">
        <v>721</v>
      </c>
      <c r="G150">
        <v>0</v>
      </c>
      <c r="H150">
        <v>1</v>
      </c>
      <c r="I150">
        <v>0</v>
      </c>
      <c r="J150">
        <v>0</v>
      </c>
      <c r="K150">
        <v>0</v>
      </c>
      <c r="L150">
        <v>1</v>
      </c>
      <c r="M150">
        <v>0</v>
      </c>
      <c r="N150">
        <v>0</v>
      </c>
      <c r="O150">
        <v>0</v>
      </c>
      <c r="P150">
        <v>0</v>
      </c>
      <c r="Q150">
        <v>0</v>
      </c>
      <c r="R150">
        <v>1</v>
      </c>
      <c r="S150">
        <v>0</v>
      </c>
      <c r="T150">
        <v>0</v>
      </c>
      <c r="U150">
        <v>0</v>
      </c>
    </row>
    <row r="151" spans="1:21" x14ac:dyDescent="0.3">
      <c r="A151" s="19" t="s">
        <v>693</v>
      </c>
      <c r="B151" s="19">
        <v>85240</v>
      </c>
      <c r="C151" s="19" t="s">
        <v>2</v>
      </c>
      <c r="D151" s="19" t="s">
        <v>379</v>
      </c>
      <c r="E151" s="19" t="s">
        <v>264</v>
      </c>
      <c r="F151" s="19" t="s">
        <v>722</v>
      </c>
      <c r="G151">
        <v>0</v>
      </c>
      <c r="H151">
        <v>0</v>
      </c>
      <c r="I151">
        <v>0</v>
      </c>
      <c r="J151">
        <v>0</v>
      </c>
      <c r="K151">
        <v>0</v>
      </c>
      <c r="L151">
        <v>1</v>
      </c>
      <c r="M151">
        <v>0</v>
      </c>
      <c r="N151">
        <v>1</v>
      </c>
      <c r="O151">
        <v>0</v>
      </c>
      <c r="P151">
        <v>0</v>
      </c>
      <c r="Q151">
        <v>0</v>
      </c>
      <c r="R151">
        <v>1</v>
      </c>
      <c r="S151">
        <v>0</v>
      </c>
      <c r="T151">
        <v>0</v>
      </c>
      <c r="U151">
        <v>0</v>
      </c>
    </row>
    <row r="152" spans="1:21" x14ac:dyDescent="0.3">
      <c r="A152" s="20" t="s">
        <v>694</v>
      </c>
      <c r="B152" s="20">
        <v>86577</v>
      </c>
      <c r="C152" s="20" t="s">
        <v>2</v>
      </c>
      <c r="D152" s="20" t="s">
        <v>379</v>
      </c>
      <c r="E152" s="20" t="s">
        <v>281</v>
      </c>
      <c r="F152" s="20" t="s">
        <v>723</v>
      </c>
      <c r="G152">
        <v>0</v>
      </c>
      <c r="H152">
        <v>1</v>
      </c>
      <c r="I152">
        <v>0</v>
      </c>
      <c r="J152">
        <v>0</v>
      </c>
      <c r="K152">
        <v>0</v>
      </c>
      <c r="L152">
        <v>1</v>
      </c>
      <c r="M152">
        <v>0</v>
      </c>
      <c r="N152">
        <v>1</v>
      </c>
      <c r="O152">
        <v>0</v>
      </c>
      <c r="P152">
        <v>0</v>
      </c>
      <c r="Q152">
        <v>0</v>
      </c>
      <c r="R152">
        <v>0</v>
      </c>
      <c r="S152">
        <v>0</v>
      </c>
      <c r="T152">
        <v>0</v>
      </c>
      <c r="U152">
        <v>0</v>
      </c>
    </row>
    <row r="153" spans="1:21" x14ac:dyDescent="0.3">
      <c r="A153" s="19" t="s">
        <v>695</v>
      </c>
      <c r="B153" s="19">
        <v>97481</v>
      </c>
      <c r="C153" s="19" t="s">
        <v>2</v>
      </c>
      <c r="D153" s="19" t="s">
        <v>379</v>
      </c>
      <c r="E153" s="19" t="s">
        <v>192</v>
      </c>
      <c r="F153" s="19" t="s">
        <v>724</v>
      </c>
      <c r="G153">
        <v>0</v>
      </c>
      <c r="H153">
        <v>0</v>
      </c>
      <c r="I153">
        <v>0</v>
      </c>
      <c r="J153">
        <v>1</v>
      </c>
      <c r="K153">
        <v>0</v>
      </c>
      <c r="L153">
        <v>1</v>
      </c>
      <c r="M153">
        <v>0</v>
      </c>
      <c r="N153">
        <v>0</v>
      </c>
      <c r="O153">
        <v>0</v>
      </c>
      <c r="P153">
        <v>0</v>
      </c>
      <c r="Q153">
        <v>0</v>
      </c>
      <c r="R153">
        <v>1</v>
      </c>
      <c r="S153">
        <v>1</v>
      </c>
      <c r="T153">
        <v>0</v>
      </c>
      <c r="U153">
        <v>0</v>
      </c>
    </row>
    <row r="154" spans="1:21" x14ac:dyDescent="0.3">
      <c r="A154" s="20" t="s">
        <v>696</v>
      </c>
      <c r="B154" s="20">
        <v>89186</v>
      </c>
      <c r="C154" s="20" t="s">
        <v>2</v>
      </c>
      <c r="D154" s="20" t="s">
        <v>379</v>
      </c>
      <c r="E154" s="20" t="s">
        <v>212</v>
      </c>
      <c r="F154" s="20" t="s">
        <v>725</v>
      </c>
      <c r="G154">
        <v>0</v>
      </c>
      <c r="H154">
        <v>0</v>
      </c>
      <c r="I154">
        <v>0</v>
      </c>
      <c r="J154">
        <v>0</v>
      </c>
      <c r="K154">
        <v>0</v>
      </c>
      <c r="L154">
        <v>1</v>
      </c>
      <c r="M154">
        <v>0</v>
      </c>
      <c r="N154">
        <v>0</v>
      </c>
      <c r="O154">
        <v>0</v>
      </c>
      <c r="P154">
        <v>1</v>
      </c>
      <c r="Q154">
        <v>0</v>
      </c>
      <c r="R154">
        <v>1</v>
      </c>
      <c r="S154">
        <v>1</v>
      </c>
      <c r="T154">
        <v>0</v>
      </c>
      <c r="U154">
        <v>0</v>
      </c>
    </row>
    <row r="155" spans="1:21" x14ac:dyDescent="0.3">
      <c r="A155" s="19" t="s">
        <v>697</v>
      </c>
      <c r="B155" s="19">
        <v>85919</v>
      </c>
      <c r="C155" s="19" t="s">
        <v>2</v>
      </c>
      <c r="D155" s="19" t="s">
        <v>379</v>
      </c>
      <c r="E155" s="19" t="s">
        <v>281</v>
      </c>
      <c r="F155" s="19" t="s">
        <v>726</v>
      </c>
      <c r="G155">
        <v>0</v>
      </c>
      <c r="H155">
        <v>0</v>
      </c>
      <c r="I155">
        <v>0</v>
      </c>
      <c r="J155">
        <v>1</v>
      </c>
      <c r="K155">
        <v>0</v>
      </c>
      <c r="L155">
        <v>1</v>
      </c>
      <c r="M155">
        <v>0</v>
      </c>
      <c r="N155">
        <v>0</v>
      </c>
      <c r="O155">
        <v>1</v>
      </c>
      <c r="P155">
        <v>1</v>
      </c>
      <c r="Q155">
        <v>1</v>
      </c>
      <c r="R155">
        <v>1</v>
      </c>
      <c r="S155">
        <v>0</v>
      </c>
      <c r="T155">
        <v>0</v>
      </c>
      <c r="U155">
        <v>0</v>
      </c>
    </row>
    <row r="156" spans="1:21" x14ac:dyDescent="0.3">
      <c r="A156" s="20" t="s">
        <v>698</v>
      </c>
      <c r="B156" s="20">
        <v>100391</v>
      </c>
      <c r="C156" s="20" t="s">
        <v>2</v>
      </c>
      <c r="D156" s="20" t="s">
        <v>379</v>
      </c>
      <c r="E156" s="20" t="s">
        <v>184</v>
      </c>
      <c r="F156" s="20" t="s">
        <v>727</v>
      </c>
      <c r="G156">
        <v>0</v>
      </c>
      <c r="H156">
        <v>1</v>
      </c>
      <c r="I156">
        <v>0</v>
      </c>
      <c r="J156">
        <v>0</v>
      </c>
      <c r="K156">
        <v>0</v>
      </c>
      <c r="L156">
        <v>1</v>
      </c>
      <c r="M156">
        <v>0</v>
      </c>
      <c r="N156">
        <v>0</v>
      </c>
      <c r="O156">
        <v>0</v>
      </c>
      <c r="P156">
        <v>0</v>
      </c>
      <c r="Q156">
        <v>0</v>
      </c>
      <c r="R156">
        <v>1</v>
      </c>
      <c r="S156">
        <v>0</v>
      </c>
      <c r="T156">
        <v>0</v>
      </c>
      <c r="U156">
        <v>0</v>
      </c>
    </row>
  </sheetData>
  <phoneticPr fontId="9" type="noConversion"/>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59999389629810485"/>
  </sheetPr>
  <dimension ref="A1:J10"/>
  <sheetViews>
    <sheetView showOutlineSymbols="0" workbookViewId="0">
      <selection activeCell="G22" sqref="G22"/>
    </sheetView>
  </sheetViews>
  <sheetFormatPr defaultRowHeight="14.4" x14ac:dyDescent="0.3"/>
  <cols>
    <col min="1" max="10" width="16" customWidth="1"/>
  </cols>
  <sheetData>
    <row r="1" spans="1:10" x14ac:dyDescent="0.3">
      <c r="A1" s="56" t="s">
        <v>1</v>
      </c>
      <c r="B1" s="56"/>
      <c r="C1" s="56"/>
      <c r="D1" s="56"/>
      <c r="G1" s="56" t="s">
        <v>2</v>
      </c>
      <c r="H1" s="56"/>
      <c r="I1" s="56"/>
      <c r="J1" s="56"/>
    </row>
    <row r="2" spans="1:10" ht="36" customHeight="1" x14ac:dyDescent="0.3">
      <c r="A2" s="5" t="s">
        <v>116</v>
      </c>
      <c r="B2" s="5" t="s">
        <v>495</v>
      </c>
      <c r="C2" s="5" t="s">
        <v>496</v>
      </c>
      <c r="D2" s="5" t="s">
        <v>380</v>
      </c>
      <c r="G2" t="s">
        <v>116</v>
      </c>
      <c r="H2" t="s">
        <v>495</v>
      </c>
      <c r="I2" t="s">
        <v>496</v>
      </c>
      <c r="J2" t="s">
        <v>380</v>
      </c>
    </row>
    <row r="3" spans="1:10" x14ac:dyDescent="0.3">
      <c r="A3" s="5" t="s">
        <v>381</v>
      </c>
      <c r="B3">
        <f>SUM(Table911[USE+])</f>
        <v>17</v>
      </c>
      <c r="C3">
        <f>SUM(Table911[USE−])</f>
        <v>9</v>
      </c>
      <c r="D3">
        <f t="shared" ref="D3:D10" si="0">SUM(B3:C3)</f>
        <v>26</v>
      </c>
      <c r="G3" s="5" t="s">
        <v>381</v>
      </c>
      <c r="H3" s="19">
        <f>SUM(Table11[USE+])</f>
        <v>42</v>
      </c>
      <c r="I3" s="19">
        <f>SUM(Table11[USE−])</f>
        <v>38</v>
      </c>
      <c r="J3" s="19">
        <f t="shared" ref="J3:J10" si="1">SUM(H3:I3)</f>
        <v>80</v>
      </c>
    </row>
    <row r="4" spans="1:10" x14ac:dyDescent="0.3">
      <c r="A4" s="5" t="s">
        <v>382</v>
      </c>
      <c r="B4">
        <f>SUM(Table911[UX+])</f>
        <v>1</v>
      </c>
      <c r="C4">
        <f>SUM(Table911[UX−])</f>
        <v>9</v>
      </c>
      <c r="D4">
        <f t="shared" si="0"/>
        <v>10</v>
      </c>
      <c r="G4" s="5" t="s">
        <v>382</v>
      </c>
      <c r="H4" s="20">
        <f>SUM(Table11[UX+])</f>
        <v>2</v>
      </c>
      <c r="I4" s="20">
        <f>SUM(Table11[UX−])</f>
        <v>11</v>
      </c>
      <c r="J4" s="20">
        <f t="shared" si="1"/>
        <v>13</v>
      </c>
    </row>
    <row r="5" spans="1:10" x14ac:dyDescent="0.3">
      <c r="A5" s="5" t="s">
        <v>383</v>
      </c>
      <c r="B5">
        <f>SUM(Table911[REL+])</f>
        <v>3</v>
      </c>
      <c r="C5">
        <f>SUM(Table911[REL−])</f>
        <v>40</v>
      </c>
      <c r="D5">
        <f t="shared" si="0"/>
        <v>43</v>
      </c>
      <c r="G5" s="5" t="s">
        <v>383</v>
      </c>
      <c r="H5" s="19">
        <f>SUM(Table11[REL+])</f>
        <v>0</v>
      </c>
      <c r="I5" s="19">
        <f>SUM(Table11[REL−])</f>
        <v>40</v>
      </c>
      <c r="J5" s="19">
        <f t="shared" si="1"/>
        <v>40</v>
      </c>
    </row>
    <row r="6" spans="1:10" x14ac:dyDescent="0.3">
      <c r="A6" s="5" t="s">
        <v>384</v>
      </c>
      <c r="B6">
        <f>SUM(Table911[TRUST+])</f>
        <v>1</v>
      </c>
      <c r="C6">
        <f>SUM(Table911[TRUST−])</f>
        <v>10</v>
      </c>
      <c r="D6">
        <f t="shared" si="0"/>
        <v>11</v>
      </c>
      <c r="G6" s="5" t="s">
        <v>384</v>
      </c>
      <c r="H6" s="20">
        <f>SUM(Table11[TRUST+])</f>
        <v>0</v>
      </c>
      <c r="I6" s="20">
        <f>SUM(Table11[TRUST−])</f>
        <v>5</v>
      </c>
      <c r="J6" s="20">
        <f t="shared" si="1"/>
        <v>5</v>
      </c>
    </row>
    <row r="7" spans="1:10" x14ac:dyDescent="0.3">
      <c r="A7" s="5" t="s">
        <v>385</v>
      </c>
      <c r="B7">
        <f>SUM(Table911[LOC+])</f>
        <v>0</v>
      </c>
      <c r="C7">
        <f>SUM(Table911[LOC−])</f>
        <v>28</v>
      </c>
      <c r="D7">
        <f t="shared" si="0"/>
        <v>28</v>
      </c>
      <c r="G7" s="5" t="s">
        <v>385</v>
      </c>
      <c r="H7" s="19">
        <f>SUM(Table11[LOC+])</f>
        <v>1</v>
      </c>
      <c r="I7" s="19">
        <f>SUM(Table11[LOC−])</f>
        <v>10</v>
      </c>
      <c r="J7" s="19">
        <f t="shared" si="1"/>
        <v>11</v>
      </c>
    </row>
    <row r="8" spans="1:10" x14ac:dyDescent="0.3">
      <c r="A8" s="5" t="s">
        <v>386</v>
      </c>
      <c r="B8">
        <f>SUM(Table911[DIGI+])</f>
        <v>11</v>
      </c>
      <c r="C8">
        <f>SUM(Table911[DIGI−])</f>
        <v>27</v>
      </c>
      <c r="D8">
        <f t="shared" si="0"/>
        <v>38</v>
      </c>
      <c r="G8" s="5" t="s">
        <v>386</v>
      </c>
      <c r="H8" s="20">
        <f>SUM(Table11[DIGI+])</f>
        <v>7</v>
      </c>
      <c r="I8" s="20">
        <f>SUM(Table11[DIGI−])</f>
        <v>38</v>
      </c>
      <c r="J8" s="20">
        <f t="shared" si="1"/>
        <v>45</v>
      </c>
    </row>
    <row r="9" spans="1:10" x14ac:dyDescent="0.3">
      <c r="A9" s="5" t="s">
        <v>164</v>
      </c>
      <c r="B9" s="11">
        <f>SUM(Table911[ISSUE])</f>
        <v>8</v>
      </c>
      <c r="C9" s="11"/>
      <c r="D9">
        <f t="shared" si="0"/>
        <v>8</v>
      </c>
      <c r="G9" s="5" t="s">
        <v>164</v>
      </c>
      <c r="H9" s="24">
        <f>SUM(Table11[ISSUE])</f>
        <v>41</v>
      </c>
      <c r="I9" s="24"/>
      <c r="J9" s="19">
        <f t="shared" si="1"/>
        <v>41</v>
      </c>
    </row>
    <row r="10" spans="1:10" x14ac:dyDescent="0.3">
      <c r="A10" s="5" t="s">
        <v>387</v>
      </c>
      <c r="B10">
        <f>SUM(Table911[AI+])</f>
        <v>0</v>
      </c>
      <c r="C10">
        <f>SUM(Table911[AI−])</f>
        <v>0</v>
      </c>
      <c r="D10">
        <f t="shared" si="0"/>
        <v>0</v>
      </c>
      <c r="G10" s="5" t="s">
        <v>387</v>
      </c>
      <c r="H10" s="21">
        <f>SUM(Table11[AI+])</f>
        <v>0</v>
      </c>
      <c r="I10" s="21">
        <f>SUM(Table911[AI−])</f>
        <v>0</v>
      </c>
      <c r="J10" s="21">
        <f t="shared" si="1"/>
        <v>0</v>
      </c>
    </row>
  </sheetData>
  <mergeCells count="2">
    <mergeCell ref="A1:D1"/>
    <mergeCell ref="G1:J1"/>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merged</vt:lpstr>
      <vt:lpstr>UE</vt:lpstr>
      <vt:lpstr>MS</vt:lpstr>
      <vt:lpstr>ai types</vt:lpstr>
      <vt:lpstr>ota updates</vt:lpstr>
      <vt:lpstr>ecosystem</vt:lpstr>
      <vt:lpstr>additional variables</vt:lpstr>
      <vt:lpstr>coding scheme</vt:lpstr>
      <vt:lpstr>coding raw</vt:lpstr>
      <vt:lpstr>coding count</vt:lpstr>
      <vt:lpstr>coding frequency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Elebesova, Asiia</dc:creator>
  <cp:lastModifiedBy>Elebesova, Asiia</cp:lastModifiedBy>
  <cp:lastPrinted>2026-04-18T22:37:07Z</cp:lastPrinted>
  <dcterms:created xsi:type="dcterms:W3CDTF">2026-03-25T17:20:59Z</dcterms:created>
  <dcterms:modified xsi:type="dcterms:W3CDTF">2026-05-19T22:15:34Z</dcterms:modified>
</cp:coreProperties>
</file>